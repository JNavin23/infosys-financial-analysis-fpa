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ore0.xml" ContentType="application/vnd.openxmlformats-package.core-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metadata/core-properties" Target="docProps/core0.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Excel\FP&amp;A\Infosys\"/>
    </mc:Choice>
  </mc:AlternateContent>
  <xr:revisionPtr revIDLastSave="0" documentId="13_ncr:1_{008160F7-5EED-46B9-9CB6-59AFBA0C5B7B}" xr6:coauthVersionLast="47" xr6:coauthVersionMax="47" xr10:uidLastSave="{00000000-0000-0000-0000-000000000000}"/>
  <bookViews>
    <workbookView xWindow="-108" yWindow="-108" windowWidth="23256" windowHeight="12456" firstSheet="6" activeTab="10" xr2:uid="{00000000-000D-0000-FFFF-FFFF00000000}"/>
  </bookViews>
  <sheets>
    <sheet name="01_Historical_Data" sheetId="1" r:id="rId1"/>
    <sheet name="06_Employee_Cost_Analysis" sheetId="2" r:id="rId2"/>
    <sheet name="03_Budget_Forecast" sheetId="3" r:id="rId3"/>
    <sheet name="09_Integrated_Model" sheetId="4" r:id="rId4"/>
    <sheet name="04_Variance_Analysis" sheetId="5" r:id="rId5"/>
    <sheet name="05_Management_Summary" sheetId="6" r:id="rId6"/>
    <sheet name="08_Cash_Flow" sheetId="7" r:id="rId7"/>
    <sheet name="02_Performance_Analysis" sheetId="8" r:id="rId8"/>
    <sheet name="07_Balance_Sheet" sheetId="9" r:id="rId9"/>
    <sheet name="10_Excel_Dashboard" sheetId="10" r:id="rId10"/>
    <sheet name="11_DCF_Valuation" sheetId="11" r:id="rId11"/>
  </sheets>
  <calcPr calcId="191029" iterateDelta="1E-4"/>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B45" i="11" l="1" a="1"/>
  <c r="B45" i="11" s="1"/>
  <c r="C45" i="11" a="1"/>
  <c r="C45" i="11"/>
  <c r="D45" i="11" a="1"/>
  <c r="D45" i="11" s="1"/>
  <c r="E45" i="11" a="1"/>
  <c r="E45" i="11" s="1"/>
  <c r="F45" i="11" a="1"/>
  <c r="F45" i="11" s="1"/>
  <c r="B46" i="11" a="1"/>
  <c r="B46" i="11"/>
  <c r="C46" i="11" a="1"/>
  <c r="C46" i="11" s="1"/>
  <c r="D46" i="11" a="1"/>
  <c r="D46" i="11"/>
  <c r="E46" i="11" a="1"/>
  <c r="E46" i="11" s="1"/>
  <c r="F46" i="11" a="1"/>
  <c r="F46" i="11"/>
  <c r="B47" i="11" a="1"/>
  <c r="B47" i="11" s="1"/>
  <c r="C47" i="11" a="1"/>
  <c r="C47" i="11"/>
  <c r="D47" i="11" a="1"/>
  <c r="D47" i="11" s="1"/>
  <c r="E47" i="11" a="1"/>
  <c r="E47" i="11"/>
  <c r="F47" i="11" a="1"/>
  <c r="F47" i="11" s="1"/>
  <c r="B48" i="11" a="1"/>
  <c r="B48" i="11" s="1"/>
  <c r="C48" i="11" a="1"/>
  <c r="C48" i="11" s="1"/>
  <c r="D48" i="11" a="1"/>
  <c r="D48" i="11" s="1"/>
  <c r="E48" i="11" a="1"/>
  <c r="E48" i="11" s="1"/>
  <c r="F48" i="11" a="1"/>
  <c r="F48" i="11"/>
  <c r="C44" i="11" a="1"/>
  <c r="C44" i="11" s="1"/>
  <c r="D44" i="11" a="1"/>
  <c r="D44" i="11" s="1"/>
  <c r="E44" i="11" a="1"/>
  <c r="E44" i="11" s="1"/>
  <c r="F44" i="11" a="1"/>
  <c r="F44" i="11" s="1"/>
  <c r="B44" i="11" a="1"/>
  <c r="B44" i="11" s="1"/>
  <c r="C22" i="11"/>
  <c r="D22" i="11"/>
  <c r="E22" i="11"/>
  <c r="F22" i="11"/>
  <c r="C18" i="11"/>
  <c r="D18" i="11"/>
  <c r="E18" i="11"/>
  <c r="F18" i="11"/>
  <c r="C17" i="11"/>
  <c r="D17" i="11"/>
  <c r="E17" i="11"/>
  <c r="F17" i="11"/>
  <c r="B17" i="11"/>
  <c r="C16" i="11"/>
  <c r="D16" i="11"/>
  <c r="E16" i="11"/>
  <c r="F16" i="11"/>
  <c r="B18" i="11"/>
  <c r="B22" i="11" s="1"/>
  <c r="B25" i="11" s="1"/>
  <c r="B24" i="11"/>
  <c r="B16" i="11"/>
  <c r="C24" i="11"/>
  <c r="D24" i="11"/>
  <c r="E24" i="11"/>
  <c r="F24" i="11"/>
  <c r="F15" i="11"/>
  <c r="E15" i="11"/>
  <c r="D15" i="11"/>
  <c r="C15" i="11"/>
  <c r="B13" i="11"/>
  <c r="B11" i="11"/>
  <c r="B7" i="11"/>
  <c r="B12" i="11" s="1"/>
  <c r="I3" i="10"/>
  <c r="G3" i="10"/>
  <c r="C3" i="10"/>
  <c r="A3" i="10"/>
  <c r="C10" i="10"/>
  <c r="E3" i="10" s="1"/>
  <c r="D10" i="10"/>
  <c r="B10" i="10"/>
  <c r="D9" i="10"/>
  <c r="C9" i="10"/>
  <c r="B9" i="10"/>
  <c r="C100" i="9"/>
  <c r="C101" i="9" s="1"/>
  <c r="B100" i="9"/>
  <c r="C90" i="9"/>
  <c r="B90" i="9"/>
  <c r="C89" i="9"/>
  <c r="B89" i="9"/>
  <c r="C83" i="9"/>
  <c r="C82" i="9"/>
  <c r="B82" i="9"/>
  <c r="C81" i="9"/>
  <c r="B81" i="9"/>
  <c r="B83" i="9" s="1"/>
  <c r="C76" i="9"/>
  <c r="B76" i="9"/>
  <c r="D76" i="9" s="1"/>
  <c r="C71" i="9"/>
  <c r="B71" i="9"/>
  <c r="D71" i="9" s="1"/>
  <c r="D66" i="9"/>
  <c r="C66" i="9"/>
  <c r="B66" i="9"/>
  <c r="D65" i="9"/>
  <c r="C65" i="9"/>
  <c r="B65" i="9"/>
  <c r="D64" i="9"/>
  <c r="C64" i="9"/>
  <c r="B64" i="9"/>
  <c r="C63" i="9"/>
  <c r="D63" i="9" s="1"/>
  <c r="B63" i="9"/>
  <c r="D58" i="9"/>
  <c r="C58" i="9"/>
  <c r="B58" i="9"/>
  <c r="D57" i="9"/>
  <c r="C57" i="9"/>
  <c r="B57" i="9"/>
  <c r="D56" i="9"/>
  <c r="C56" i="9"/>
  <c r="B56" i="9"/>
  <c r="C53" i="9"/>
  <c r="B51" i="9"/>
  <c r="E44" i="9"/>
  <c r="E45" i="9" s="1"/>
  <c r="E43" i="9"/>
  <c r="E42" i="9"/>
  <c r="E41" i="9"/>
  <c r="E40" i="9"/>
  <c r="E39" i="9"/>
  <c r="E36" i="9"/>
  <c r="E35" i="9"/>
  <c r="E34" i="9"/>
  <c r="E37" i="9" s="1"/>
  <c r="E46" i="9" s="1"/>
  <c r="C15" i="4" s="1"/>
  <c r="E33" i="9"/>
  <c r="E30" i="9"/>
  <c r="E27" i="9"/>
  <c r="E21" i="9"/>
  <c r="E20" i="9"/>
  <c r="E19" i="9"/>
  <c r="E18" i="9"/>
  <c r="E16" i="9"/>
  <c r="E15" i="9"/>
  <c r="E13" i="9"/>
  <c r="E12" i="9"/>
  <c r="E11" i="9"/>
  <c r="E10" i="9"/>
  <c r="E9" i="9"/>
  <c r="E8" i="9"/>
  <c r="E7" i="9"/>
  <c r="E6" i="9"/>
  <c r="E5" i="9"/>
  <c r="E4" i="9"/>
  <c r="E3" i="9"/>
  <c r="E14" i="9" s="1"/>
  <c r="C34" i="8"/>
  <c r="C36" i="8" s="1"/>
  <c r="B34" i="8"/>
  <c r="B36" i="8" s="1"/>
  <c r="D27" i="8"/>
  <c r="C27" i="8"/>
  <c r="B27" i="8"/>
  <c r="D26" i="8"/>
  <c r="C26" i="8"/>
  <c r="B26" i="8"/>
  <c r="B20" i="8"/>
  <c r="B18" i="8"/>
  <c r="B12" i="8"/>
  <c r="B11" i="8"/>
  <c r="B10" i="8"/>
  <c r="B9" i="8"/>
  <c r="B6" i="8"/>
  <c r="B5" i="8"/>
  <c r="B4" i="8"/>
  <c r="B3" i="8"/>
  <c r="B15" i="8" s="1"/>
  <c r="B16" i="8" s="1"/>
  <c r="B2" i="8"/>
  <c r="B14" i="8" s="1"/>
  <c r="C104" i="7"/>
  <c r="C106" i="7" s="1"/>
  <c r="C108" i="7" s="1"/>
  <c r="C110" i="7" s="1"/>
  <c r="B104" i="7"/>
  <c r="B106" i="7" s="1"/>
  <c r="B108" i="7" s="1"/>
  <c r="B110" i="7" s="1"/>
  <c r="C98" i="7"/>
  <c r="C94" i="7"/>
  <c r="C90" i="7"/>
  <c r="B80" i="7"/>
  <c r="B74" i="7"/>
  <c r="B75" i="7" s="1"/>
  <c r="B73" i="7"/>
  <c r="C71" i="7"/>
  <c r="B71" i="7"/>
  <c r="C70" i="7"/>
  <c r="B70" i="7"/>
  <c r="C69" i="7"/>
  <c r="C74" i="7" s="1"/>
  <c r="C75" i="7" s="1"/>
  <c r="B69" i="7"/>
  <c r="B10" i="5"/>
  <c r="B9" i="5"/>
  <c r="B8" i="5"/>
  <c r="B7" i="5"/>
  <c r="C5" i="5"/>
  <c r="D5" i="5" s="1"/>
  <c r="E5" i="5" s="1"/>
  <c r="B5" i="5"/>
  <c r="B4" i="5"/>
  <c r="C3" i="5"/>
  <c r="D3" i="5" s="1"/>
  <c r="E3" i="5" s="1"/>
  <c r="B3" i="5"/>
  <c r="C2" i="5"/>
  <c r="D2" i="5" s="1"/>
  <c r="E2" i="5" s="1"/>
  <c r="B2" i="5"/>
  <c r="C11" i="3"/>
  <c r="B6" i="3"/>
  <c r="B6" i="5" s="1"/>
  <c r="M5" i="3"/>
  <c r="L5" i="3"/>
  <c r="C5" i="3"/>
  <c r="M4" i="3"/>
  <c r="L4" i="3"/>
  <c r="C4" i="3"/>
  <c r="C4" i="5" s="1"/>
  <c r="D4" i="5" s="1"/>
  <c r="E4" i="5" s="1"/>
  <c r="M3" i="3"/>
  <c r="L3" i="3"/>
  <c r="C3" i="3"/>
  <c r="C2" i="3"/>
  <c r="C16" i="3" s="1"/>
  <c r="D33" i="2"/>
  <c r="D32" i="2"/>
  <c r="D31" i="2"/>
  <c r="D30" i="2"/>
  <c r="D29" i="2"/>
  <c r="C26" i="2"/>
  <c r="B26" i="2"/>
  <c r="B18" i="2"/>
  <c r="B17" i="2"/>
  <c r="B16" i="2"/>
  <c r="D12" i="2"/>
  <c r="B12" i="2"/>
  <c r="D11" i="2"/>
  <c r="B11" i="2"/>
  <c r="D6" i="2"/>
  <c r="F6" i="2" s="1"/>
  <c r="D5" i="2"/>
  <c r="F5" i="2" s="1"/>
  <c r="D4" i="2"/>
  <c r="F4" i="2" s="1"/>
  <c r="E3" i="2"/>
  <c r="D3" i="2"/>
  <c r="F3" i="2" s="1"/>
  <c r="D2" i="2"/>
  <c r="E2" i="2" s="1"/>
  <c r="B17" i="4"/>
  <c r="B16" i="4"/>
  <c r="B15" i="4"/>
  <c r="B14" i="4"/>
  <c r="B13" i="4"/>
  <c r="B12" i="4"/>
  <c r="C10" i="4" s="1"/>
  <c r="B11" i="4"/>
  <c r="B10" i="4"/>
  <c r="B7" i="4"/>
  <c r="B9" i="4" s="1"/>
  <c r="C5" i="4"/>
  <c r="C4" i="4"/>
  <c r="B4" i="4"/>
  <c r="B3" i="4"/>
  <c r="B6" i="4" s="1"/>
  <c r="C6" i="4" s="1"/>
  <c r="C19" i="11" l="1"/>
  <c r="D19" i="11" s="1"/>
  <c r="E19" i="11" s="1"/>
  <c r="F19" i="11" s="1"/>
  <c r="C84" i="9"/>
  <c r="E5" i="2"/>
  <c r="C6" i="3"/>
  <c r="C6" i="5" s="1"/>
  <c r="D6" i="5" s="1"/>
  <c r="E6" i="5" s="1"/>
  <c r="E6" i="2"/>
  <c r="F2" i="2"/>
  <c r="C72" i="7"/>
  <c r="C73" i="7"/>
  <c r="E4" i="2"/>
  <c r="C20" i="11" l="1"/>
  <c r="D20" i="11" s="1"/>
  <c r="E20" i="11" s="1"/>
  <c r="F20" i="11" s="1"/>
  <c r="C7" i="3"/>
  <c r="C21" i="11" l="1"/>
  <c r="D21" i="11" s="1"/>
  <c r="E21" i="11" s="1"/>
  <c r="F21" i="11" s="1"/>
  <c r="C8" i="3"/>
  <c r="C7" i="5"/>
  <c r="D7" i="5" s="1"/>
  <c r="E7" i="5" s="1"/>
  <c r="O3" i="3"/>
  <c r="P3" i="3" s="1"/>
  <c r="O5" i="3"/>
  <c r="P5" i="3" s="1"/>
  <c r="O4" i="3"/>
  <c r="P4" i="3" s="1"/>
  <c r="B26" i="11" l="1"/>
  <c r="B27" i="11" s="1"/>
  <c r="C25" i="11"/>
  <c r="D25" i="11"/>
  <c r="E25" i="11"/>
  <c r="F25" i="11"/>
  <c r="C9" i="3"/>
  <c r="C9" i="5" s="1"/>
  <c r="D9" i="5" s="1"/>
  <c r="E9" i="5" s="1"/>
  <c r="C14" i="3"/>
  <c r="C8" i="5"/>
  <c r="D8" i="5" s="1"/>
  <c r="E8" i="5" s="1"/>
  <c r="B28" i="11" l="1"/>
  <c r="B31" i="11" s="1"/>
  <c r="B33" i="11" s="1"/>
  <c r="C10" i="3"/>
  <c r="C17" i="3" l="1"/>
  <c r="C3" i="4"/>
  <c r="C10" i="5"/>
  <c r="D10" i="5" s="1"/>
  <c r="E10" i="5" s="1"/>
  <c r="C15" i="3"/>
  <c r="E28" i="9" l="1"/>
  <c r="E29" i="9" s="1"/>
  <c r="E31" i="9" s="1"/>
  <c r="C7" i="4"/>
  <c r="C9" i="4" l="1"/>
  <c r="E47" i="9"/>
  <c r="C24" i="4" s="1"/>
  <c r="C26" i="4" s="1"/>
  <c r="C27" i="4" s="1"/>
  <c r="C12" i="4" s="1"/>
  <c r="C14" i="4"/>
  <c r="C16" i="4" s="1"/>
  <c r="C11" i="4" l="1"/>
  <c r="E17" i="9"/>
  <c r="E22" i="9" s="1"/>
  <c r="E23" i="9" s="1"/>
  <c r="E48" i="9" l="1"/>
  <c r="C13" i="4"/>
  <c r="C17" i="4"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OpenAI</author>
  </authors>
  <commentList>
    <comment ref="C6" authorId="0" shapeId="0" xr:uid="{00000000-0006-0000-0300-000001000000}">
      <text>
        <r>
          <rPr>
            <sz val="10"/>
            <rFont val="Arial"/>
            <family val="2"/>
          </rPr>
          <t>Held at the latest actual-year residual after excluding income tax expense. This is a simplifying forecast assumption, not official company guidance.</t>
        </r>
      </text>
    </comment>
    <comment ref="C24" authorId="0" shapeId="0" xr:uid="{00000000-0006-0000-0300-000002000000}">
      <text>
        <r>
          <rPr>
            <sz val="10"/>
            <rFont val="Arial"/>
            <family val="2"/>
          </rPr>
          <t>This is a residual balancing estimate derived from the forecast balance sheet, not an independently forecast financing transaction. Replace with explicit forecast financing/investing assumptions when available.</t>
        </r>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<sst xmlns="http://schemas.openxmlformats.org/spreadsheetml/2006/main" count="503" uniqueCount="356">
  <si>
    <t>Particulars</t>
  </si>
  <si>
    <t>FY2025–26 Actual</t>
  </si>
  <si>
    <t>FY2024–25 Actual</t>
  </si>
  <si>
    <t>Revenue from operations</t>
  </si>
  <si>
    <t>Employee benefit expenses</t>
  </si>
  <si>
    <t>Total expenses</t>
  </si>
  <si>
    <t>Profit before tax</t>
  </si>
  <si>
    <t>Profit for the year</t>
  </si>
  <si>
    <t>Salaries including bonus</t>
  </si>
  <si>
    <t>Provident and other funds</t>
  </si>
  <si>
    <t>Share-based payments</t>
  </si>
  <si>
    <t>Staff welfare</t>
  </si>
  <si>
    <t>Total employee expenses</t>
  </si>
  <si>
    <t>Employee Expense</t>
  </si>
  <si>
    <t>FY2024–25</t>
  </si>
  <si>
    <t>FY2025–26</t>
  </si>
  <si>
    <t>Increase</t>
  </si>
  <si>
    <t>Growth %</t>
  </si>
  <si>
    <t>Contribution %</t>
  </si>
  <si>
    <t>Employee Cost as % of Revenue</t>
  </si>
  <si>
    <t>Financial Year</t>
  </si>
  <si>
    <t>Employee Expenses</t>
  </si>
  <si>
    <t>Revenue</t>
  </si>
  <si>
    <t>Employee Cost %</t>
  </si>
  <si>
    <t>Growth Comparison</t>
  </si>
  <si>
    <t>Revenue Growth</t>
  </si>
  <si>
    <t>Employee Expense Growth</t>
  </si>
  <si>
    <t>Difference in Growth Rates</t>
  </si>
  <si>
    <t>Tax Analysis</t>
  </si>
  <si>
    <t>Metric</t>
  </si>
  <si>
    <t>PBT</t>
  </si>
  <si>
    <t>Tax Expense</t>
  </si>
  <si>
    <t>PAT</t>
  </si>
  <si>
    <t>Effective Tax Rate</t>
  </si>
  <si>
    <t>Metric (₹ crore)</t>
  </si>
  <si>
    <t>Revenue from Operations</t>
  </si>
  <si>
    <t>Employee Benefit Expenses</t>
  </si>
  <si>
    <t>Technical Subcontractor Costs</t>
  </si>
  <si>
    <t>Software Package Costs</t>
  </si>
  <si>
    <t>Total Expenses</t>
  </si>
  <si>
    <t xml:space="preserve"> FY2025–26 Actual</t>
  </si>
  <si>
    <t>FY2026–27 Budget</t>
  </si>
  <si>
    <t>Assumption</t>
  </si>
  <si>
    <t>Reason</t>
  </si>
  <si>
    <t>Revenue and Employee Cost Sensitivity Analysis</t>
  </si>
  <si>
    <t>Cash Flow Forecast Assumptions</t>
  </si>
  <si>
    <t>Revenue Growth %</t>
  </si>
  <si>
    <t>Practice assumption; below historical growth of 9.6%</t>
  </si>
  <si>
    <t>Scenario</t>
  </si>
  <si>
    <t>Forecast Revenue</t>
  </si>
  <si>
    <t>Forecast Employee Expenses</t>
  </si>
  <si>
    <t>Adjusted Forecast PBT</t>
  </si>
  <si>
    <t>Adjusted PBT Margin</t>
  </si>
  <si>
    <t>Other investing cash flow</t>
  </si>
  <si>
    <t>Employee Expense Growth %</t>
  </si>
  <si>
    <t>Practice assumption for employee cost increases</t>
  </si>
  <si>
    <t>Downside</t>
  </si>
  <si>
    <t>Dividends</t>
  </si>
  <si>
    <t>Cost of Technical Sub-contractors</t>
  </si>
  <si>
    <t>Technical Subcontractor Growth %</t>
  </si>
  <si>
    <t>Practice assumption</t>
  </si>
  <si>
    <t>Base case</t>
  </si>
  <si>
    <t>Share buybacks</t>
  </si>
  <si>
    <t>Cost of Software Packages</t>
  </si>
  <si>
    <t>Software Package Cost Growth %</t>
  </si>
  <si>
    <t>Upside</t>
  </si>
  <si>
    <t>Other financing cash flow</t>
  </si>
  <si>
    <t>Other Expenses</t>
  </si>
  <si>
    <t>Other Expenses Growth %</t>
  </si>
  <si>
    <t>Foreign exchange impact</t>
  </si>
  <si>
    <t>Depreciation &amp; Amortization Growth %</t>
  </si>
  <si>
    <t>Profit Before Tax (PBT)</t>
  </si>
  <si>
    <t>Finance Cost Growth %</t>
  </si>
  <si>
    <t>Assume no change</t>
  </si>
  <si>
    <t>Based on FY2025–26 actual tax expense divided by PBT</t>
  </si>
  <si>
    <t>Profit After Tax (PAT)</t>
  </si>
  <si>
    <t>Other Income Growth %</t>
  </si>
  <si>
    <t>Other Income, Net</t>
  </si>
  <si>
    <t>Dividend Growth %</t>
  </si>
  <si>
    <t>Not needed for the P&amp;L budget; optional for later cash-flow planning</t>
  </si>
  <si>
    <t>Exceptional Expense</t>
  </si>
  <si>
    <t>Capital Expenditure Growth %</t>
  </si>
  <si>
    <t>Practice assumption for later cash-flow forecasting</t>
  </si>
  <si>
    <t>Receivables Growth %</t>
  </si>
  <si>
    <t>Practice assumption for working-capital forecasting</t>
  </si>
  <si>
    <t>PBT Margin %</t>
  </si>
  <si>
    <t>PAT Margin %</t>
  </si>
  <si>
    <t>PAT Growth %</t>
  </si>
  <si>
    <t>Integrated Three-Statement Model</t>
  </si>
  <si>
    <t>FY2025-26 Actual</t>
  </si>
  <si>
    <t>FY2026-27 Forecast</t>
  </si>
  <si>
    <t>Net Profit After Tax</t>
  </si>
  <si>
    <t>Add: Depreciation and Amortisation</t>
  </si>
  <si>
    <t>Change in Operating Working Capital</t>
  </si>
  <si>
    <t>Other Operating Cash Adjustments (excluding tax)</t>
  </si>
  <si>
    <t>Cash Flow from Operations</t>
  </si>
  <si>
    <t>Capital Expenditure</t>
  </si>
  <si>
    <t>Free Cash Flow</t>
  </si>
  <si>
    <t>Opening Cash and Cash Equivalents</t>
  </si>
  <si>
    <t>Net Change in Cash</t>
  </si>
  <si>
    <t>Closing Cash and Cash Equivalents</t>
  </si>
  <si>
    <t>Total Assets</t>
  </si>
  <si>
    <t>Total Equity</t>
  </si>
  <si>
    <t>Total Liabilities</t>
  </si>
  <si>
    <t>Total Equity and Liabilities</t>
  </si>
  <si>
    <t>Balance Sheet Check</t>
  </si>
  <si>
    <t>Capital expenditure</t>
  </si>
  <si>
    <t>Other financing cash flow (balancing estimate; validate assumption)</t>
  </si>
  <si>
    <t>Net cash change from detailed flows</t>
  </si>
  <si>
    <t>Closing cash from detailed flows</t>
  </si>
  <si>
    <t>FY2026–27 Forecast</t>
  </si>
  <si>
    <t>Forecast Change</t>
  </si>
  <si>
    <t>Forecast Change %</t>
  </si>
  <si>
    <t>Technical Sub-contractors</t>
  </si>
  <si>
    <t>Software Packages</t>
  </si>
  <si>
    <t>Infosys FP&amp;A Management Summary</t>
  </si>
  <si>
    <t>Revenue grew by approximately 9.61% year over year.</t>
  </si>
  <si>
    <t>PBT margin declined by approximately 0.68 percentage points.</t>
  </si>
  <si>
    <t>PAT margin increased by approximately 0.09 percentage points.</t>
  </si>
  <si>
    <t>Further analysis is needed to identify the drivers of margin changes.</t>
  </si>
  <si>
    <t xml:space="preserve"> Employee Cost Analysis — FY2025–26
**Key finding:** Total employee benefit expenses increased from ₹85,950 crore in FY2024–25 to ₹95,094 crore in FY2025–26, an increase of ₹9,144 crore (10.64%).
**Primary driver:** Salaries including bonus increased by ₹8,605 crore and accounted for approximately 94.1% of the total employee expense increase.
**Other observations:** Share-based payments recorded the highest percentage growth at approximately 18.70%, while staff welfare expenses grew by approximately 3.46%.
**Recommended follow-up:** Investigate the impact of salary increments, changes in employee headcount, hiring, workforce utilization, and subcontractor usage to understand the underlying cost drivers. These are areas for investigation, not confirmed explanations from this analysis.
**Management implication:** Employee costs grew faster than revenue growth of approximately 9.6%. FP&amp;A should investigate whether this trend is putting pressure on operating margins and whether workforce productivity is improving sufficiently.</t>
  </si>
  <si>
    <t>**Tax and Profitability Analysis — FY2025–26**
Infosys's effective tax rate decreased from approximately 28.87% in FY2024–25 to 26.31% in FY2025–26, a decline of approximately 2.56 percentage points.
Tax expense decreased from ₹10,858 crore to ₹10,521 crore, while profit before tax increased from ₹37,608 crore to ₹39,995 crore.
This contributed to PAT growing faster than PBT. Further analysis of the company's tax disclosures is required to identify the reasons for the lower effective tax rate.</t>
  </si>
  <si>
    <t xml:space="preserve">Working Capital &amp; Liquidity     </t>
  </si>
  <si>
    <t>Infosys's net working capital decreased from ₹54,249 crore in FY2024–25 to ₹51,167 crore in FY2025–26, a reduction of ₹3,082 crore. Current liabilities increased faster than current assets, while the current ratio declined from 2.27x to 1.98x. Management should investigate the drivers of higher current liabilities and assess the implications for liquidity and working capital efficiency.</t>
  </si>
  <si>
    <t>**Receivables &amp; Unbilled Revenue:** The cash flow impact deteriorated by ₹3,408 crore in FY2025–26, creating additional pressure on operating cash flow. Further investigation is required to identify the underlying drivers.</t>
  </si>
  <si>
    <t>Cash Tax Payments: Cash taxes paid increased by ₹3,046 crore in FY2025–26, creating an additional cash outflow. This contributed to pressure on operating cash flow. Further analysis is required to understand the reasons for the increase.</t>
  </si>
  <si>
    <t>**Operating Cash Flow Analysis:** Operating cash flow declined by ₹1,708 crore in FY2025–26. Key adverse movements included receivables and unbilled revenue (₹3,408 crore), higher cash tax payments (₹3,046 crore), and loans and other assets (₹1,621 crore). These were partly offset by a favorable ₹2,887 crore movement in other financial liabilities, other liabilities and provisions. Further investigation is required to establish the underlying drivers.</t>
  </si>
  <si>
    <t>The FY2026–27 practice forecast assumes revenue growth of 8.0%, while employee benefit expenses grow by 9.0%. Total expenses are forecast to increase by approximately 7.46%, with PBT and PAT projected to grow by approximately 12.52% and 12.53%, respectively. Employee cost growth exceeding revenue growth warrants monitoring. These projections are assumption-based and do not represent official Infosys guidance.</t>
  </si>
  <si>
    <t>Profitability Analysis: PBT margin declined from 23.07% in FY2024–25 to 22.39% in FY2025–26, indicating pressure on pre-tax profitability relative to revenue. However, PAT margin improved slightly from 16.41% to 16.50%, supported in part by a lower effective tax rate. Under the practice forecast, PBT and PAT margins are projected to improve to 23.32% and 17.19%, respectively. Management should monitor employee cost growth, operating expenses, and the sustainability of these projected margin improvements.</t>
  </si>
  <si>
    <t>Working Capital and Receivables Analysis: Trade receivables increased by 13.08% in FY2025–26, compared with revenue growth of 9.61%. Receivables as a percentage of revenue increased from 19.12% to 19.72%, while DSO rose from 69.78 to 71.99 days. This indicates that receivables increased relative to revenue. Management should investigate collection trends, billing timing, and customer balances to determine the underlying drivers and potential impact on cash flow.</t>
  </si>
  <si>
    <t>Free Cash Flow Analysis: Simplified free cash flow declined from ₹33,457 crore in FY2024–25 to ₹31,259 crore in FY2025–26, a decrease of ₹2,198 crore. Operating cash flow declined by ₹1,708 crore, while capital expenditure increased by ₹490 crore. Consequently, free cash flow margin decreased from 20.53% to 17.50%. Management should investigate the drivers of lower operating cash flow and higher capital expenditure to assess the sustainability of cash generation.</t>
  </si>
  <si>
    <t>EBITDA and Operating Profitability Analysis: Calculated EBITDA increased from ₹39,236 crore in FY2024–25 to ₹40,991 crore in FY2025–26, representing growth of approximately 4.47%, compared with revenue growth of 9.61%. Consequently, the calculated EBITDA margin declined from 24.07% to 22.94%, a decrease of 1.13 percentage points. This suggests that operating earnings grew more slowly than revenue. Management should investigate employee costs, subcontractor expenses, and other operating costs to understand the margin pressure. EBITDA is calculated here using PBT plus finance costs and depreciation/amortization, less other income; it is a simplified analytical measure.</t>
  </si>
  <si>
    <t>Revenue and Expense Growth Analysis: Revenue increased by 9.61% in FY2025–26, while total expenses increased by 9.85%. Employee benefit expenses grew by 10.64%, and technical subcontractor costs grew by 19.20%, both exceeding revenue growth. In contrast, software package costs declined by 1.19%. Management should investigate the drivers of subcontractor cost growth and employee cost increases to assess their impact on operating margins. The analysis identifies areas for further investigation but does not establish the causes of the cost increases.</t>
  </si>
  <si>
    <t>Infosys — Consolidated Cash Flow Statement</t>
  </si>
  <si>
    <t>Income tax expense</t>
  </si>
  <si>
    <t>Depreciation and amortization</t>
  </si>
  <si>
    <t>Interest and dividend income</t>
  </si>
  <si>
    <t>Finance cost</t>
  </si>
  <si>
    <t>Impairment loss under expected credit loss model</t>
  </si>
  <si>
    <t>Exchange differences on translation of assets and liabilities</t>
  </si>
  <si>
    <t>Stock compensation expense</t>
  </si>
  <si>
    <t>Interest receivable on income tax refund</t>
  </si>
  <si>
    <t>Provision for post-sale client support</t>
  </si>
  <si>
    <t>Other adjustments</t>
  </si>
  <si>
    <t>Changes in assets and liabilities</t>
  </si>
  <si>
    <t xml:space="preserve"> FY2025–26</t>
  </si>
  <si>
    <t>Trade receivables and unbilled revenue</t>
  </si>
  <si>
    <t>Loans, other financial assets and other assets</t>
  </si>
  <si>
    <t>Trade payables</t>
  </si>
  <si>
    <t>Other financial liabilities, other liabilities and provisions</t>
  </si>
  <si>
    <t>Cash generated from operations</t>
  </si>
  <si>
    <t>Income taxes paid</t>
  </si>
  <si>
    <t>Net cash generated by operating activities</t>
  </si>
  <si>
    <t>Cash flows from investing activities</t>
  </si>
  <si>
    <t>Expenditure on property, plant and equipment and intangibles, net of sale proceeds</t>
  </si>
  <si>
    <t>Deposits placed with Corporation</t>
  </si>
  <si>
    <t>Redemption of deposits placed with Corporation</t>
  </si>
  <si>
    <t>Interest and dividend received</t>
  </si>
  <si>
    <t>Payment towards acquisition of business, net of cash acquired</t>
  </si>
  <si>
    <t>Payment of contingent consideration pertaining to acquisition of business</t>
  </si>
  <si>
    <t>Escrow and other deposits pertaining to buyback</t>
  </si>
  <si>
    <t>Redemption of escrow and other deposits pertaining to buyback</t>
  </si>
  <si>
    <t>Other receipts</t>
  </si>
  <si>
    <t>Payments to acquire investments — Tax-free bonds and government bonds</t>
  </si>
  <si>
    <t>Payments to acquire investments — Mutual fund units</t>
  </si>
  <si>
    <t>Payments to acquire investments — Certificates of deposit</t>
  </si>
  <si>
    <t>Payments to acquire investments — Non-convertible debentures</t>
  </si>
  <si>
    <t>Payments to acquire investments — Government securities</t>
  </si>
  <si>
    <t>Payments to acquire investments — Other investments</t>
  </si>
  <si>
    <t>Proceeds on sale of investments — Tax-free bonds and government bonds</t>
  </si>
  <si>
    <t>Proceeds on sale of investments — Target maturity funds</t>
  </si>
  <si>
    <t>Proceeds on sale of investments — Mutual fund units</t>
  </si>
  <si>
    <t>Proceeds on sale of investments — Certificates of deposit</t>
  </si>
  <si>
    <t>Proceeds on sale of investments — Commercial papers</t>
  </si>
  <si>
    <t>Proceeds on sale of investments — Non-convertible debentures</t>
  </si>
  <si>
    <t>Proceeds on sale of investments — Government securities</t>
  </si>
  <si>
    <t>Proceeds on sale of investments — Other investments</t>
  </si>
  <si>
    <t>Net cash generated / (used in) from investing activities</t>
  </si>
  <si>
    <t>FY2024–25 (₹ crore)</t>
  </si>
  <si>
    <t>FY2025–26 (₹ crore)</t>
  </si>
  <si>
    <t>Cash flows from Financing activities</t>
  </si>
  <si>
    <t>Payment of lease liabilities</t>
  </si>
  <si>
    <t>Payment of dividends</t>
  </si>
  <si>
    <t>Loan repayment</t>
  </si>
  <si>
    <t>Dividend to non-controlling interest</t>
  </si>
  <si>
    <t>Employee stock options exercised</t>
  </si>
  <si>
    <t>Share buyback</t>
  </si>
  <si>
    <t>Other payments</t>
  </si>
  <si>
    <t>Net cash used in financing activities</t>
  </si>
  <si>
    <t>Net increase / (decrease) in cash and cash equivalents</t>
  </si>
  <si>
    <t>Effect of exchange rate changes on cash and cash equivalents</t>
  </si>
  <si>
    <t>Cash and cash equivalents at beginning of period</t>
  </si>
  <si>
    <t>Cash and cash equivalents at end of period</t>
  </si>
  <si>
    <t>Restricted cash (supplementary information)</t>
  </si>
  <si>
    <t xml:space="preserve"> Particulars</t>
  </si>
  <si>
    <t>Operating Cash Flow</t>
  </si>
  <si>
    <t>Investing Cash Flow</t>
  </si>
  <si>
    <t>Financing Cash Flow</t>
  </si>
  <si>
    <t>Operating Cash Flow Growth %</t>
  </si>
  <si>
    <t>Operating Cash Flow Margin %</t>
  </si>
  <si>
    <t>Free Cash Flow (simplified)</t>
  </si>
  <si>
    <t>Free Cash Flow Margin %</t>
  </si>
  <si>
    <t>Value</t>
  </si>
  <si>
    <t>FY2024–25 cash flow impact</t>
  </si>
  <si>
    <t>FY2025–26 cash flow impact</t>
  </si>
  <si>
    <t>Change in cash flow impact</t>
  </si>
  <si>
    <t>Management Interpretation</t>
  </si>
  <si>
    <t>The cash flow impact from trade receivables and unbilled revenue deteriorated by ₹3,408 crore in FY2025–26. This was an adverse working-capital movement and is one factor to investigate when explaining the decline in operating cash flow. Further analysis is required to identify the underlying drivers.</t>
  </si>
  <si>
    <t>Cash taxes paid</t>
  </si>
  <si>
    <t xml:space="preserve">₹5,602 </t>
  </si>
  <si>
    <t xml:space="preserve">₹8,648 </t>
  </si>
  <si>
    <t>Increase in cash outflow</t>
  </si>
  <si>
    <t>₹3,046 crore</t>
  </si>
  <si>
    <t>Net cash from operating activities</t>
  </si>
  <si>
    <t>Net cash from investing activities</t>
  </si>
  <si>
    <t>Net change before exchange rate effects</t>
  </si>
  <si>
    <t>Effect of exchange rate changes</t>
  </si>
  <si>
    <t>Calculated change including exchange effects</t>
  </si>
  <si>
    <t>Opening cash and cash equivalents</t>
  </si>
  <si>
    <t>Calculated closing cash balance</t>
  </si>
  <si>
    <t>Reported closing cash balance</t>
  </si>
  <si>
    <t>Reconciliation difference</t>
  </si>
  <si>
    <t>Total Expense Growth %</t>
  </si>
  <si>
    <t>Profit Before Tax Growth %</t>
  </si>
  <si>
    <t>Profit for the Year Growth %</t>
  </si>
  <si>
    <t>Profitability Metrics</t>
  </si>
  <si>
    <t>PBT Margin — FY2025–26</t>
  </si>
  <si>
    <t>PBT Margin — FY2024–25</t>
  </si>
  <si>
    <t>PAT Margin — FY2025–26</t>
  </si>
  <si>
    <t>PAT Margin — FY2024–25</t>
  </si>
  <si>
    <t>Growth Difference</t>
  </si>
  <si>
    <t>PBT Margin Change</t>
  </si>
  <si>
    <t>PAT Margin Change</t>
  </si>
  <si>
    <t>Revenue (₹ crore)</t>
  </si>
  <si>
    <t>PBT (₹ crore)</t>
  </si>
  <si>
    <t>PAT (₹ crore)</t>
  </si>
  <si>
    <t>Finance Cost</t>
  </si>
  <si>
    <t>Depreciation &amp; Amortization</t>
  </si>
  <si>
    <t>EBITDA (calculated)</t>
  </si>
  <si>
    <t>EBITDA Margin</t>
  </si>
  <si>
    <t>Assets</t>
  </si>
  <si>
    <t>Property, plant and equipment</t>
  </si>
  <si>
    <t>Right-of-use assets</t>
  </si>
  <si>
    <t>Capital work-in-progress</t>
  </si>
  <si>
    <t>Goodwill</t>
  </si>
  <si>
    <t>Other intangible assets</t>
  </si>
  <si>
    <t>Non-current investments</t>
  </si>
  <si>
    <t>Non-current loans</t>
  </si>
  <si>
    <t>Other non-current financial assets</t>
  </si>
  <si>
    <t>Deferred tax assets (net)</t>
  </si>
  <si>
    <t>Non-current income tax assets</t>
  </si>
  <si>
    <t>Other non-current assets</t>
  </si>
  <si>
    <t>Total non-current assets</t>
  </si>
  <si>
    <t>Current investments</t>
  </si>
  <si>
    <t>Trade receivables</t>
  </si>
  <si>
    <t>Cash and cash equivalents</t>
  </si>
  <si>
    <t>Current loans</t>
  </si>
  <si>
    <t>Other current financial assets</t>
  </si>
  <si>
    <t>Current income tax assets</t>
  </si>
  <si>
    <t>Other current assets</t>
  </si>
  <si>
    <t>Total current assets</t>
  </si>
  <si>
    <t>Total assets</t>
  </si>
  <si>
    <t>Equity &amp; Liabilities</t>
  </si>
  <si>
    <t xml:space="preserve"> FY2024–25</t>
  </si>
  <si>
    <t>EQUITY</t>
  </si>
  <si>
    <t>Equity share capital</t>
  </si>
  <si>
    <t>Other equity</t>
  </si>
  <si>
    <t>Total equity attributable to equity holders</t>
  </si>
  <si>
    <t>Non-controlling interests</t>
  </si>
  <si>
    <t>Total equity</t>
  </si>
  <si>
    <t>NON-CURRENT LIABILITIES</t>
  </si>
  <si>
    <t>Lease liabilities</t>
  </si>
  <si>
    <t>Other financial liabilities</t>
  </si>
  <si>
    <t>Deferred tax liabilities (net)</t>
  </si>
  <si>
    <t>Other non-current liabilities</t>
  </si>
  <si>
    <t>Total non-current liabilities</t>
  </si>
  <si>
    <t>CURRENT LIABILITIES</t>
  </si>
  <si>
    <t>Other current liabilities</t>
  </si>
  <si>
    <t>Provisions</t>
  </si>
  <si>
    <t>Income tax liabilities (net)</t>
  </si>
  <si>
    <t>Total current liabilities</t>
  </si>
  <si>
    <t>Total liabilities</t>
  </si>
  <si>
    <t>Total equity and liabilities</t>
  </si>
  <si>
    <t>FY2024–25 Difference</t>
  </si>
  <si>
    <t>FY2025–26 Difference</t>
  </si>
  <si>
    <t>Balance Sheet Growth Analysis</t>
  </si>
  <si>
    <t>Working Capital &amp; Liquidity Analysis</t>
  </si>
  <si>
    <t>Trade Receivables</t>
  </si>
  <si>
    <t>Cash and Cash Equivalents</t>
  </si>
  <si>
    <t>Other Current Assets</t>
  </si>
  <si>
    <t>Total Current Assets</t>
  </si>
  <si>
    <t>Liquidity Ratio Analysis</t>
  </si>
  <si>
    <t>Current Ratio</t>
  </si>
  <si>
    <t>Quick Ratio Analysis</t>
  </si>
  <si>
    <t xml:space="preserve">Quick Ratio </t>
  </si>
  <si>
    <t>Net Working Capital Analysis</t>
  </si>
  <si>
    <t>Total Current Liabilities</t>
  </si>
  <si>
    <t>Net Working Capital</t>
  </si>
  <si>
    <t>Change in NWC</t>
  </si>
  <si>
    <t>Receivables as % of Revenue</t>
  </si>
  <si>
    <t>DSO</t>
  </si>
  <si>
    <t>Operating Working Capital Analysis</t>
  </si>
  <si>
    <t>FY2024-25</t>
  </si>
  <si>
    <t>FY2025-26</t>
  </si>
  <si>
    <t>Trade Payables</t>
  </si>
  <si>
    <t>Other Current Liabilities</t>
  </si>
  <si>
    <t>Operating Net Working Capital</t>
  </si>
  <si>
    <t>Change in Operating NWC</t>
  </si>
  <si>
    <t>FY25 Actual</t>
  </si>
  <si>
    <t>FY26 Actual</t>
  </si>
  <si>
    <t>FY27 Forecast</t>
  </si>
  <si>
    <t>Net Profit (PAT)</t>
  </si>
  <si>
    <t>Net Profit Margin</t>
  </si>
  <si>
    <t>FY26 REVENUE</t>
  </si>
  <si>
    <t>FY26 NET PROFIT (PAT)</t>
  </si>
  <si>
    <t>FY26 NET PROFIT MARGIN</t>
  </si>
  <si>
    <t>FY27 FORECAST REVENUE</t>
  </si>
  <si>
    <t>FY27 FORECAST PAT</t>
  </si>
  <si>
    <t>INFOSYS  FINANCIAL PERFORMANCE DASHBOARD</t>
  </si>
  <si>
    <t>All financial figures in ₹ crore | FY25–FY26 Actuals | FY27 Forecast</t>
  </si>
  <si>
    <t>Infosys — DCF Valuation Model</t>
  </si>
  <si>
    <t>Valuation Assumptions</t>
  </si>
  <si>
    <t>Risk-Free Rate</t>
  </si>
  <si>
    <t>Beta</t>
  </si>
  <si>
    <t>Equity Risk Premium</t>
  </si>
  <si>
    <t>Cost of Equity</t>
  </si>
  <si>
    <t>Cost of Debt</t>
  </si>
  <si>
    <t>Tax Rate</t>
  </si>
  <si>
    <t>Equity Weight</t>
  </si>
  <si>
    <t>Debt Weight</t>
  </si>
  <si>
    <t>WACC</t>
  </si>
  <si>
    <t>FY27</t>
  </si>
  <si>
    <t>FY28</t>
  </si>
  <si>
    <t>FY29</t>
  </si>
  <si>
    <t>FY30</t>
  </si>
  <si>
    <t>FY31</t>
  </si>
  <si>
    <t>EBIT</t>
  </si>
  <si>
    <t>Tax on EBIT</t>
  </si>
  <si>
    <t>NOPAT</t>
  </si>
  <si>
    <t>Depreciation &amp; Amortisation</t>
  </si>
  <si>
    <t>Change in Net Working Capital</t>
  </si>
  <si>
    <t>Free Cash Flow to Firm (FCFF)</t>
  </si>
  <si>
    <t>Discount Period</t>
  </si>
  <si>
    <t>Discount Factor</t>
  </si>
  <si>
    <t>Present Value of FCFF</t>
  </si>
  <si>
    <t>Terminal Value</t>
  </si>
  <si>
    <t>Present Value of Terminal Value</t>
  </si>
  <si>
    <t>Enterprise Value</t>
  </si>
  <si>
    <t>Less: Total Debt</t>
  </si>
  <si>
    <t>Add: Cash &amp; Cash Equivalents</t>
  </si>
  <si>
    <t>Equity Value</t>
  </si>
  <si>
    <t>Shares Outstanding</t>
  </si>
  <si>
    <t>Implied Value per Share</t>
  </si>
  <si>
    <t>After-Tax Cost of Debt</t>
  </si>
  <si>
    <t>Terminal Growth Rate</t>
  </si>
  <si>
    <t>WACC / Terminal Growth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</si>
</sst>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0.0%"/>
    <numFmt numFmtId="165" formatCode="_(* #,##0_);_(* \(#,##0\);_(* &quot;-&quot;??_);_(@_)"/>
    <numFmt numFmtId="166" formatCode="#,##0.000"/>
  </numFmts>
  <fonts count="12">
    <font>
      <sz val="11"/>
      <color theme="1"/>
      <name val="Aptos Narrow"/>
      <family val="2"/>
      <charset val="1"/>
    </font>
    <font>
      <b/>
      <sz val="11"/>
      <color theme="1"/>
      <name val="Aptos Narrow"/>
      <family val="2"/>
      <charset val="1"/>
    </font>
    <font>
      <sz val="10"/>
      <color theme="1"/>
      <name val="Arial Unicode MS"/>
      <charset val="1"/>
    </font>
    <font>
      <sz val="10"/>
      <name val="Arial"/>
      <family val="2"/>
    </font>
    <font>
      <sz val="11"/>
      <color theme="1"/>
      <name val="Aptos Narrow"/>
      <family val="2"/>
      <charset val="1"/>
    </font>
    <font>
      <b/>
      <sz val="11"/>
      <color theme="1"/>
      <name val="Aptos Narrow"/>
      <family val="2"/>
    </font>
    <font>
      <b/>
      <sz val="16"/>
      <color theme="1"/>
      <name val="Aptos Narrow"/>
      <family val="2"/>
    </font>
    <font>
      <b/>
      <sz val="10"/>
      <color theme="1"/>
      <name val="Arial Unicode MS"/>
    </font>
    <font>
      <sz val="18"/>
      <color theme="3" tint="0.499984740745262"/>
      <name val="Aptos Narrow"/>
      <family val="2"/>
      <charset val="1"/>
    </font>
    <font>
      <b/>
      <sz val="16"/>
      <color theme="0"/>
      <name val="Aptos Narrow"/>
      <family val="2"/>
    </font>
    <font>
      <sz val="10"/>
      <color theme="1"/>
      <name val="Arial Unicode MS"/>
    </font>
    <font>
      <b/>
      <sz val="11"/>
      <color rgb="FFFF0000"/>
      <name val="Aptos Narrow"/>
      <family val="2"/>
    </font>
  </fonts>
  <fills count="5">
    <fill>
      <patternFill patternType="none"/>
    </fill>
    <fill>
      <patternFill patternType="gray125"/>
    </fill>
    <fill>
      <patternFill patternType="solid">
        <fgColor rgb="FFFFFF00"/>
        <bgColor rgb="FFFFFF00"/>
      </patternFill>
    </fill>
    <fill>
      <patternFill patternType="solid">
        <fgColor rgb="FF003399"/>
        <bgColor indexed="64"/>
      </patternFill>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3">
    <xf numFmtId="0" fontId="0" fillId="0" borderId="0"/>
    <xf numFmtId="9" fontId="4" fillId="0" borderId="0"/>
    <xf numFmtId="43" fontId="4" fillId="0" borderId="0" applyFont="0" applyFill="0" applyBorder="0" applyAlignment="0" applyProtection="0"/>
  </cellStyleXfs>
  <cellXfs count="59">
    <xf numFmtId="0" fontId="0" fillId="0" borderId="0" xfId="0"/>
    <xf numFmtId="0" fontId="1" fillId="0" borderId="0" xfId="0" applyFont="1" applyAlignment="1">
      <alignment horizontal="center" vertical="center" wrapText="1"/>
    </xf>
    <xf numFmtId="0" fontId="1" fillId="0" borderId="0" xfId="0" applyFont="1" applyAlignment="1">
      <alignment horizontal="center"/>
    </xf>
    <xf numFmtId="0" fontId="1" fillId="0" borderId="0" xfId="0" applyFont="1" applyAlignment="1">
      <alignment horizontal="center" wrapText="1"/>
    </xf>
    <xf numFmtId="0" fontId="1" fillId="2" borderId="1" xfId="0" applyFont="1" applyFill="1" applyBorder="1" applyAlignment="1">
      <alignment horizontal="center" vertical="center" wrapText="1"/>
    </xf>
    <xf numFmtId="0" fontId="1" fillId="2" borderId="1" xfId="0" applyFont="1" applyFill="1" applyBorder="1" applyAlignment="1">
      <alignment vertical="center" wrapText="1"/>
    </xf>
    <xf numFmtId="0" fontId="0" fillId="0" borderId="1" xfId="0" applyBorder="1" applyAlignment="1">
      <alignment vertical="center" wrapText="1"/>
    </xf>
    <xf numFmtId="3" fontId="0" fillId="0" borderId="1" xfId="0" applyNumberFormat="1" applyBorder="1" applyAlignment="1">
      <alignment vertical="center" wrapText="1"/>
    </xf>
    <xf numFmtId="0" fontId="0" fillId="0" borderId="1" xfId="0" applyBorder="1"/>
    <xf numFmtId="3" fontId="0" fillId="0" borderId="1" xfId="0" applyNumberFormat="1" applyBorder="1"/>
    <xf numFmtId="10" fontId="4" fillId="0" borderId="1" xfId="1" applyNumberFormat="1" applyBorder="1"/>
    <xf numFmtId="0" fontId="0" fillId="0" borderId="0" xfId="0" applyAlignment="1">
      <alignment vertical="center" wrapText="1"/>
    </xf>
    <xf numFmtId="3" fontId="0" fillId="0" borderId="0" xfId="0" applyNumberFormat="1"/>
    <xf numFmtId="10" fontId="4" fillId="0" borderId="0" xfId="1" applyNumberFormat="1"/>
    <xf numFmtId="10" fontId="0" fillId="0" borderId="0" xfId="0" applyNumberFormat="1"/>
    <xf numFmtId="3" fontId="0" fillId="0" borderId="0" xfId="0" applyNumberFormat="1" applyAlignment="1">
      <alignment vertical="center" wrapText="1"/>
    </xf>
    <xf numFmtId="10" fontId="0" fillId="0" borderId="0" xfId="0" applyNumberFormat="1" applyAlignment="1">
      <alignment vertical="center" wrapText="1"/>
    </xf>
    <xf numFmtId="0" fontId="1" fillId="2" borderId="1" xfId="0" applyFont="1" applyFill="1" applyBorder="1" applyAlignment="1">
      <alignment horizontal="center" vertical="center"/>
    </xf>
    <xf numFmtId="0" fontId="1" fillId="2" borderId="1" xfId="0" applyFont="1" applyFill="1" applyBorder="1" applyAlignment="1">
      <alignment vertical="center"/>
    </xf>
    <xf numFmtId="10" fontId="0" fillId="0" borderId="1" xfId="0" applyNumberFormat="1" applyBorder="1" applyAlignment="1">
      <alignment vertical="center" wrapText="1"/>
    </xf>
    <xf numFmtId="4" fontId="0" fillId="0" borderId="1" xfId="0" applyNumberFormat="1" applyBorder="1" applyAlignment="1">
      <alignment vertical="center" wrapText="1"/>
    </xf>
    <xf numFmtId="4" fontId="0" fillId="0" borderId="1" xfId="0" applyNumberFormat="1" applyBorder="1"/>
    <xf numFmtId="10" fontId="0" fillId="0" borderId="1" xfId="0" applyNumberFormat="1" applyBorder="1"/>
    <xf numFmtId="0" fontId="2" fillId="0" borderId="0" xfId="0" applyFont="1"/>
    <xf numFmtId="2" fontId="0" fillId="0" borderId="0" xfId="0" applyNumberFormat="1"/>
    <xf numFmtId="0" fontId="1" fillId="0" borderId="0" xfId="0" applyFont="1"/>
    <xf numFmtId="3" fontId="1" fillId="0" borderId="0" xfId="0" applyNumberFormat="1" applyFont="1"/>
    <xf numFmtId="3" fontId="2" fillId="0" borderId="0" xfId="0" applyNumberFormat="1" applyFont="1"/>
    <xf numFmtId="4" fontId="0" fillId="0" borderId="0" xfId="0" applyNumberFormat="1" applyAlignment="1">
      <alignment vertical="center" wrapText="1"/>
    </xf>
    <xf numFmtId="0" fontId="0" fillId="0" borderId="0" xfId="0" applyAlignment="1">
      <alignment wrapText="1"/>
    </xf>
    <xf numFmtId="0" fontId="1" fillId="0" borderId="0" xfId="0" applyFont="1" applyAlignment="1">
      <alignment vertical="center" wrapText="1"/>
    </xf>
    <xf numFmtId="10" fontId="4" fillId="0" borderId="0" xfId="1" applyNumberFormat="1" applyAlignment="1">
      <alignment vertical="center" wrapText="1"/>
    </xf>
    <xf numFmtId="10" fontId="2" fillId="0" borderId="0" xfId="1" applyNumberFormat="1" applyFont="1"/>
    <xf numFmtId="2" fontId="2" fillId="0" borderId="0" xfId="1" applyNumberFormat="1" applyFont="1"/>
    <xf numFmtId="0" fontId="2" fillId="0" borderId="0" xfId="0" applyFont="1" applyAlignment="1">
      <alignment vertical="center" wrapText="1"/>
    </xf>
    <xf numFmtId="164" fontId="4" fillId="0" borderId="0" xfId="1" applyNumberFormat="1"/>
    <xf numFmtId="164" fontId="0" fillId="0" borderId="0" xfId="0" applyNumberFormat="1"/>
    <xf numFmtId="10" fontId="2" fillId="0" borderId="0" xfId="0" applyNumberFormat="1" applyFont="1"/>
    <xf numFmtId="3" fontId="1" fillId="0" borderId="0" xfId="0" applyNumberFormat="1" applyFont="1" applyAlignment="1">
      <alignment vertical="center" wrapText="1"/>
    </xf>
    <xf numFmtId="0" fontId="5" fillId="0" borderId="0" xfId="0" applyFont="1"/>
    <xf numFmtId="165" fontId="0" fillId="0" borderId="0" xfId="2" applyNumberFormat="1" applyFont="1"/>
    <xf numFmtId="0" fontId="10" fillId="0" borderId="0" xfId="0" applyFont="1" applyAlignment="1">
      <alignment vertical="center"/>
    </xf>
    <xf numFmtId="2" fontId="10" fillId="0" borderId="0" xfId="0" applyNumberFormat="1" applyFont="1" applyAlignment="1">
      <alignment vertical="center"/>
    </xf>
    <xf numFmtId="166" fontId="0" fillId="0" borderId="0" xfId="0" applyNumberFormat="1"/>
    <xf numFmtId="0" fontId="1" fillId="2" borderId="1" xfId="0" applyFont="1" applyFill="1" applyBorder="1" applyAlignment="1">
      <alignment horizontal="center" vertical="center" wrapText="1"/>
    </xf>
    <xf numFmtId="0" fontId="1" fillId="0" borderId="0" xfId="0" applyFont="1" applyAlignment="1">
      <alignment horizontal="center" wrapText="1"/>
    </xf>
    <xf numFmtId="0" fontId="1" fillId="0" borderId="0" xfId="0" applyFont="1" applyAlignment="1">
      <alignment horizontal="center"/>
    </xf>
    <xf numFmtId="0" fontId="1" fillId="0" borderId="0" xfId="0" applyFont="1" applyAlignment="1">
      <alignment horizontal="center" vertical="center" wrapText="1"/>
    </xf>
    <xf numFmtId="43" fontId="8" fillId="0" borderId="0" xfId="2" applyFont="1" applyAlignment="1">
      <alignment horizontal="center"/>
    </xf>
    <xf numFmtId="0" fontId="5" fillId="0" borderId="0" xfId="0" applyFont="1" applyAlignment="1">
      <alignment horizontal="center"/>
    </xf>
    <xf numFmtId="0" fontId="9" fillId="3" borderId="0" xfId="0" applyFont="1" applyFill="1" applyAlignment="1">
      <alignment horizontal="center"/>
    </xf>
    <xf numFmtId="0" fontId="6" fillId="3" borderId="0" xfId="0" applyFont="1" applyFill="1" applyAlignment="1">
      <alignment horizontal="center"/>
    </xf>
    <xf numFmtId="165" fontId="8" fillId="0" borderId="0" xfId="2" applyNumberFormat="1" applyFont="1" applyAlignment="1">
      <alignment horizontal="center"/>
    </xf>
    <xf numFmtId="0" fontId="7" fillId="0" borderId="0" xfId="0" applyFont="1" applyAlignment="1">
      <alignment horizontal="center"/>
    </xf>
    <xf numFmtId="10" fontId="8" fillId="0" borderId="0" xfId="0" applyNumberFormat="1" applyFont="1" applyAlignment="1">
      <alignment horizontal="center"/>
    </xf>
    <xf numFmtId="0" fontId="11" fillId="4" borderId="1" xfId="0" applyFont="1" applyFill="1" applyBorder="1"/>
    <xf numFmtId="10" fontId="11" fillId="4" borderId="1" xfId="0" applyNumberFormat="1" applyFont="1" applyFill="1" applyBorder="1"/>
    <xf numFmtId="10" fontId="5" fillId="0" borderId="1" xfId="0" applyNumberFormat="1" applyFont="1" applyBorder="1"/>
    <xf numFmtId="2" fontId="0" fillId="0" borderId="1" xfId="0" applyNumberFormat="1" applyBorder="1"/>
  </cellXfs>
  <cellStyles count="3">
    <cellStyle name="Comma" xfId="2" builtinId="3"/>
    <cellStyle name="Normal" xfId="0" builtinId="0"/>
    <cellStyle name="Percent" xfId="1" builtinId="5"/>
  </cellStyles>
  <dxfs count="0"/>
  <tableStyles count="0" defaultTableStyle="TableStyleMedium2" defaultPivotStyle="PivotStyleLight16"/>
  <colors>
    <mruColors>
      <color rgb="FF0033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theme" Target="theme/theme1.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eetMetadata" Target="metadata.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400" b="1" i="0" u="none" strike="noStrike" baseline="0">
                <a:solidFill>
                  <a:schemeClr val="accent1"/>
                </a:solidFill>
              </a:rPr>
              <a:t>Revenue — Actual vs Forecast (₹ Cr).</a:t>
            </a:r>
            <a:endParaRPr lang="en-US" b="1">
              <a:solidFill>
                <a:schemeClr val="accent1"/>
              </a:solidFill>
            </a:endParaRP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'10_Excel_Dashboard'!$A$6</c:f>
              <c:strCache>
                <c:ptCount val="1"/>
                <c:pt idx="0">
                  <c:v>Revenue</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'10_Excel_Dashboard'!$B$5:$D$5</c:f>
              <c:strCache>
                <c:ptCount val="3"/>
                <c:pt idx="0">
                  <c:v>FY25 Actual</c:v>
                </c:pt>
                <c:pt idx="1">
                  <c:v>FY26 Actual</c:v>
                </c:pt>
                <c:pt idx="2">
                  <c:v>FY27 Forecast</c:v>
                </c:pt>
              </c:strCache>
            </c:strRef>
          </c:cat>
          <c:val>
            <c:numRef>
              <c:f>'10_Excel_Dashboard'!$B$6:$D$6</c:f>
              <c:numCache>
                <c:formatCode>_(* #,##0_);_(* \(#,##0\);_(* "-"??_);_(@_)</c:formatCode>
                <c:ptCount val="3"/>
                <c:pt idx="0">
                  <c:v>162990</c:v>
                </c:pt>
                <c:pt idx="1">
                  <c:v>178650</c:v>
                </c:pt>
                <c:pt idx="2">
                  <c:v>192942</c:v>
                </c:pt>
              </c:numCache>
            </c:numRef>
          </c:val>
          <c:extLst>
            <c:ext xmlns:c16="http://schemas.microsoft.com/office/drawing/2014/chart" uri="{C3380CC4-5D6E-409C-BE32-E72D297353CC}">
              <c16:uniqueId val="{00000000-18EB-49EF-9125-8F2EC1C1C978}"/>
            </c:ext>
          </c:extLst>
        </c:ser>
        <c:dLbls>
          <c:dLblPos val="outEnd"/>
          <c:showLegendKey val="0"/>
          <c:showVal val="1"/>
          <c:showCatName val="0"/>
          <c:showSerName val="0"/>
          <c:showPercent val="0"/>
          <c:showBubbleSize val="0"/>
        </c:dLbls>
        <c:gapWidth val="219"/>
        <c:overlap val="-27"/>
        <c:axId val="1465078863"/>
        <c:axId val="1437246991"/>
      </c:barChart>
      <c:catAx>
        <c:axId val="146507886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37246991"/>
        <c:crosses val="autoZero"/>
        <c:auto val="1"/>
        <c:lblAlgn val="ctr"/>
        <c:lblOffset val="100"/>
        <c:noMultiLvlLbl val="0"/>
      </c:catAx>
      <c:valAx>
        <c:axId val="1437246991"/>
        <c:scaling>
          <c:orientation val="minMax"/>
          <c:min val="0"/>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078863"/>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1">
                <a:solidFill>
                  <a:schemeClr val="accent1"/>
                </a:solidFill>
              </a:rPr>
              <a:t>Net Profit (PAT) — Actual vs Forecast (₹ Cr)</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'10_Excel_Dashboard'!$A$7</c:f>
              <c:strCache>
                <c:ptCount val="1"/>
                <c:pt idx="0">
                  <c:v>Net Profit (PAT)</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'10_Excel_Dashboard'!$B$5:$D$5</c:f>
              <c:strCache>
                <c:ptCount val="3"/>
                <c:pt idx="0">
                  <c:v>FY25 Actual</c:v>
                </c:pt>
                <c:pt idx="1">
                  <c:v>FY26 Actual</c:v>
                </c:pt>
                <c:pt idx="2">
                  <c:v>FY27 Forecast</c:v>
                </c:pt>
              </c:strCache>
            </c:strRef>
          </c:cat>
          <c:val>
            <c:numRef>
              <c:f>'10_Excel_Dashboard'!$B$7:$D$7</c:f>
              <c:numCache>
                <c:formatCode>_(* #,##0_);_(* \(#,##0\);_(* "-"??_);_(@_)</c:formatCode>
                <c:ptCount val="3"/>
                <c:pt idx="0">
                  <c:v>26750</c:v>
                </c:pt>
                <c:pt idx="1">
                  <c:v>29474</c:v>
                </c:pt>
                <c:pt idx="2">
                  <c:v>33166.68</c:v>
                </c:pt>
              </c:numCache>
            </c:numRef>
          </c:val>
          <c:extLst>
            <c:ext xmlns:c16="http://schemas.microsoft.com/office/drawing/2014/chart" uri="{C3380CC4-5D6E-409C-BE32-E72D297353CC}">
              <c16:uniqueId val="{00000000-5C8F-419E-A56E-B4D907EBA50B}"/>
            </c:ext>
          </c:extLst>
        </c:ser>
        <c:dLbls>
          <c:dLblPos val="outEnd"/>
          <c:showLegendKey val="0"/>
          <c:showVal val="1"/>
          <c:showCatName val="0"/>
          <c:showSerName val="0"/>
          <c:showPercent val="0"/>
          <c:showBubbleSize val="0"/>
        </c:dLbls>
        <c:gapWidth val="219"/>
        <c:overlap val="-27"/>
        <c:axId val="1465074687"/>
        <c:axId val="1606506991"/>
      </c:barChart>
      <c:catAx>
        <c:axId val="146507468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06506991"/>
        <c:crosses val="autoZero"/>
        <c:auto val="1"/>
        <c:lblAlgn val="ctr"/>
        <c:lblOffset val="100"/>
        <c:noMultiLvlLbl val="0"/>
      </c:catAx>
      <c:valAx>
        <c:axId val="1606506991"/>
        <c:scaling>
          <c:orientation val="minMax"/>
        </c:scaling>
        <c:delete val="0"/>
        <c:axPos val="l"/>
        <c:majorGridlines>
          <c:spPr>
            <a:ln w="9525" cap="flat" cmpd="sng" algn="ctr">
              <a:solidFill>
                <a:schemeClr val="tx1">
                  <a:lumMod val="15000"/>
                  <a:lumOff val="85000"/>
                </a:schemeClr>
              </a:solidFill>
              <a:round/>
            </a:ln>
            <a:effectLst/>
          </c:spPr>
        </c:majorGridlines>
        <c:numFmt formatCode="_(* #,##0_);_(* \(#,##0\);_(* &quot;-&quot;??_);_(@_)"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65074687"/>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0</xdr:colOff>
      <xdr:row>10</xdr:row>
      <xdr:rowOff>11430</xdr:rowOff>
    </xdr:from>
    <xdr:to>
      <xdr:col>4</xdr:col>
      <xdr:colOff>381000</xdr:colOff>
      <xdr:row>21</xdr:row>
      <xdr:rowOff>60960</xdr:rowOff>
    </xdr:to>
    <xdr:graphicFrame macro="">
      <xdr:nvGraphicFramePr>
        <xdr:cNvPr id="2" name="Chart 1">
          <a:extLst>
            <a:ext uri="{FF2B5EF4-FFF2-40B4-BE49-F238E27FC236}">
              <a16:creationId xmlns:a16="http://schemas.microsoft.com/office/drawing/2014/main" id="{CA9F7DC3-486E-0A04-1299-3C815454F36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xdr:col>
      <xdr:colOff>487680</xdr:colOff>
      <xdr:row>10</xdr:row>
      <xdr:rowOff>22860</xdr:rowOff>
    </xdr:from>
    <xdr:to>
      <xdr:col>9</xdr:col>
      <xdr:colOff>762000</xdr:colOff>
      <xdr:row>21</xdr:row>
      <xdr:rowOff>76200</xdr:rowOff>
    </xdr:to>
    <xdr:graphicFrame macro="">
      <xdr:nvGraphicFramePr>
        <xdr:cNvPr id="3" name="Chart 2">
          <a:extLst>
            <a:ext uri="{FF2B5EF4-FFF2-40B4-BE49-F238E27FC236}">
              <a16:creationId xmlns:a16="http://schemas.microsoft.com/office/drawing/2014/main" id="{1A39AD69-C4B1-835D-4621-AAEA3FB87D2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majorFont>
      <a:minorFont>
        <a:latin typeface="Aptos Narrow" panose="02110004020202020204"/>
        <a:ea typeface=""/>
        <a:cs typeface=""/>
      </a:minorFont>
    </a:fontScheme>
    <a:fmtScheme>
      <a:fillStyleLst>
        <a:solidFill>
          <a:schemeClr val="phClr"/>
        </a:solidFill>
        <a:gradFill>
          <a:gsLst>
            <a:gs pos="0">
              <a:schemeClr val="phClr">
                <a:lumMod val="110000"/>
                <a:tint val="67000"/>
              </a:schemeClr>
            </a:gs>
            <a:gs pos="50000">
              <a:schemeClr val="phClr">
                <a:lumMod val="105000"/>
                <a:tint val="73000"/>
              </a:schemeClr>
            </a:gs>
            <a:gs pos="100000">
              <a:schemeClr val="phClr">
                <a:lumMod val="105000"/>
                <a:tint val="81000"/>
              </a:schemeClr>
            </a:gs>
          </a:gsLst>
          <a:lin ang="5400000" scaled="0"/>
          <a:tileRect/>
        </a:gradFill>
        <a:gradFill>
          <a:gsLst>
            <a:gs pos="0">
              <a:schemeClr val="phClr">
                <a:lumMod val="102000"/>
                <a:tint val="94000"/>
              </a:schemeClr>
            </a:gs>
            <a:gs pos="50000">
              <a:schemeClr val="phClr">
                <a:lumMod val="100000"/>
                <a:shade val="100000"/>
              </a:schemeClr>
            </a:gs>
            <a:gs pos="100000">
              <a:schemeClr val="phClr">
                <a:lumMod val="99000"/>
                <a:shade val="78000"/>
              </a:schemeClr>
            </a:gs>
          </a:gsLst>
          <a:lin ang="5400000" scaled="0"/>
          <a:tileRect/>
        </a:gradFill>
      </a:fillStyleLst>
      <a:lnStyleLst>
        <a:ln w="12700" cap="flat" cmpd="sng" algn="ctr">
          <a:prstDash val="solid"/>
          <a:miter lim="800000"/>
        </a:ln>
        <a:ln w="19050" cap="flat" cmpd="sng" algn="ctr">
          <a:prstDash val="solid"/>
          <a:miter lim="800000"/>
        </a:ln>
        <a:ln w="25400" cap="flat" cmpd="sng" algn="ctr">
          <a:prstDash val="solid"/>
          <a:miter lim="800000"/>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a:gradFill>
      </a:bgFillStyleLst>
    </a:fmtScheme>
  </a:themeElements>
  <a:objectDefaults/>
  <a:extraClrSchemeLst/>
</a:theme>
</file>

<file path=xl/worksheets/_rels/sheet4.xml.rels><?xml version="1.0" encoding="UTF-8" standalone="yes"?>
<Relationships xmlns="http://schemas.openxmlformats.org/package/2006/relationships"><Relationship Id="rId2" Type="http://schemas.openxmlformats.org/officeDocument/2006/relationships/comments" Target="../comments1.xml"/><Relationship Id="rId1" Type="http://schemas.openxmlformats.org/officeDocument/2006/relationships/vmlDrawing" Target="../drawings/vmlDrawing1.v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1"/>
  <sheetViews>
    <sheetView zoomScaleNormal="100" workbookViewId="0"/>
  </sheetViews>
  <sheetFormatPr defaultColWidth="8.5546875" defaultRowHeight="14.25" customHeight="1"/>
  <cols>
    <col min="2" max="3" width="8.77734375" customWidth="1"/>
  </cols>
  <sheetData>
    <row r="1" spans="1:3" ht="28.5" customHeight="1">
      <c r="A1" s="5" t="s">
        <v>0</v>
      </c>
      <c r="B1" s="5" t="s">
        <v>1</v>
      </c>
      <c r="C1" s="5" t="s">
        <v>2</v>
      </c>
    </row>
    <row r="2" spans="1:3" ht="57" customHeight="1">
      <c r="A2" s="6" t="s">
        <v>3</v>
      </c>
      <c r="B2" s="6">
        <v>178650</v>
      </c>
      <c r="C2" s="6">
        <v>162990</v>
      </c>
    </row>
    <row r="3" spans="1:3" ht="42.75" customHeight="1">
      <c r="A3" s="6" t="s">
        <v>4</v>
      </c>
      <c r="B3" s="6">
        <v>95094</v>
      </c>
      <c r="C3" s="6">
        <v>85950</v>
      </c>
    </row>
    <row r="4" spans="1:3" ht="28.5" customHeight="1">
      <c r="A4" s="6" t="s">
        <v>5</v>
      </c>
      <c r="B4" s="6">
        <v>141688</v>
      </c>
      <c r="C4" s="6">
        <v>128982</v>
      </c>
    </row>
    <row r="5" spans="1:3" ht="28.5" customHeight="1">
      <c r="A5" s="6" t="s">
        <v>6</v>
      </c>
      <c r="B5" s="6">
        <v>39995</v>
      </c>
      <c r="C5" s="6">
        <v>37608</v>
      </c>
    </row>
    <row r="6" spans="1:3" ht="28.5" customHeight="1">
      <c r="A6" s="6" t="s">
        <v>7</v>
      </c>
      <c r="B6" s="6">
        <v>29474</v>
      </c>
      <c r="C6" s="6">
        <v>26750</v>
      </c>
    </row>
    <row r="7" spans="1:3" ht="42.75" customHeight="1">
      <c r="A7" s="6" t="s">
        <v>8</v>
      </c>
      <c r="B7" s="7">
        <v>90837</v>
      </c>
      <c r="C7" s="7">
        <v>82232</v>
      </c>
    </row>
    <row r="8" spans="1:3" ht="42.75" customHeight="1">
      <c r="A8" s="6" t="s">
        <v>9</v>
      </c>
      <c r="B8" s="7">
        <v>2707</v>
      </c>
      <c r="C8" s="7">
        <v>2338</v>
      </c>
    </row>
    <row r="9" spans="1:3" ht="42.75" customHeight="1">
      <c r="A9" s="6" t="s">
        <v>10</v>
      </c>
      <c r="B9" s="6">
        <v>952</v>
      </c>
      <c r="C9" s="6">
        <v>802</v>
      </c>
    </row>
    <row r="10" spans="1:3" ht="28.5" customHeight="1">
      <c r="A10" s="6" t="s">
        <v>11</v>
      </c>
      <c r="B10" s="6">
        <v>598</v>
      </c>
      <c r="C10" s="6">
        <v>578</v>
      </c>
    </row>
    <row r="11" spans="1:3" ht="42.75" customHeight="1">
      <c r="A11" s="6" t="s">
        <v>12</v>
      </c>
      <c r="B11" s="7">
        <v>95094</v>
      </c>
      <c r="C11" s="7">
        <v>85950</v>
      </c>
    </row>
  </sheetData>
  <pageMargins left="0.7" right="0.7" top="0.75" bottom="0.75" header="0.511811023622047" footer="0.511811023622047"/>
  <pageSetup paperSize="9" orientation="portrait" horizontalDpi="300" verticalDpi="30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33"/>
  <sheetViews>
    <sheetView topLeftCell="A17" zoomScaleNormal="100" workbookViewId="0">
      <selection activeCell="F31" sqref="F31"/>
    </sheetView>
  </sheetViews>
  <sheetFormatPr defaultColWidth="8.5546875" defaultRowHeight="14.25" customHeight="1"/>
  <cols>
    <col min="1" max="1" width="22.6640625" customWidth="1"/>
    <col min="2" max="2" width="16.77734375" customWidth="1"/>
    <col min="3" max="3" width="9.77734375" customWidth="1"/>
    <col min="4" max="4" width="14.77734375" customWidth="1"/>
    <col min="5" max="5" width="8.77734375" customWidth="1"/>
    <col min="6" max="6" width="12.77734375" customWidth="1"/>
  </cols>
  <sheetData>
    <row r="1" spans="1:6" ht="14.4">
      <c r="A1" s="8" t="s">
        <v>13</v>
      </c>
      <c r="B1" s="8" t="s">
        <v>14</v>
      </c>
      <c r="C1" s="8" t="s">
        <v>15</v>
      </c>
      <c r="D1" s="8" t="s">
        <v>16</v>
      </c>
      <c r="E1" s="8" t="s">
        <v>17</v>
      </c>
      <c r="F1" s="8" t="s">
        <v>18</v>
      </c>
    </row>
    <row r="2" spans="1:6" ht="14.4">
      <c r="A2" s="6" t="s">
        <v>8</v>
      </c>
      <c r="B2" s="7">
        <v>82232</v>
      </c>
      <c r="C2" s="7">
        <v>90837</v>
      </c>
      <c r="D2" s="9">
        <f>C2-B2</f>
        <v>8605</v>
      </c>
      <c r="E2" s="10">
        <f>D2/B2</f>
        <v>0.10464296137756592</v>
      </c>
      <c r="F2" s="10">
        <f>D2/$D$6</f>
        <v>0.94105424321959752</v>
      </c>
    </row>
    <row r="3" spans="1:6" ht="14.4">
      <c r="A3" s="6" t="s">
        <v>9</v>
      </c>
      <c r="B3" s="7">
        <v>2338</v>
      </c>
      <c r="C3" s="7">
        <v>2707</v>
      </c>
      <c r="D3" s="9">
        <f>C3-B3</f>
        <v>369</v>
      </c>
      <c r="E3" s="10">
        <f>D3/B3</f>
        <v>0.15782720273738238</v>
      </c>
      <c r="F3" s="10">
        <f>D3/$D$6</f>
        <v>4.0354330708661415E-2</v>
      </c>
    </row>
    <row r="4" spans="1:6" ht="14.4">
      <c r="A4" s="6" t="s">
        <v>10</v>
      </c>
      <c r="B4" s="6">
        <v>802</v>
      </c>
      <c r="C4" s="6">
        <v>952</v>
      </c>
      <c r="D4" s="9">
        <f>C4-B4</f>
        <v>150</v>
      </c>
      <c r="E4" s="10">
        <f>D4/B4</f>
        <v>0.18703241895261846</v>
      </c>
      <c r="F4" s="10">
        <f>D4/$D$6</f>
        <v>1.6404199475065617E-2</v>
      </c>
    </row>
    <row r="5" spans="1:6" ht="14.4">
      <c r="A5" s="6" t="s">
        <v>11</v>
      </c>
      <c r="B5" s="6">
        <v>578</v>
      </c>
      <c r="C5" s="6">
        <v>598</v>
      </c>
      <c r="D5" s="9">
        <f>C5-B5</f>
        <v>20</v>
      </c>
      <c r="E5" s="10">
        <f>D5/B5</f>
        <v>3.4602076124567477E-2</v>
      </c>
      <c r="F5" s="10">
        <f>D5/$D$6</f>
        <v>2.1872265966754157E-3</v>
      </c>
    </row>
    <row r="6" spans="1:6" ht="14.4">
      <c r="A6" s="6" t="s">
        <v>12</v>
      </c>
      <c r="B6" s="7">
        <v>85950</v>
      </c>
      <c r="C6" s="7">
        <v>95094</v>
      </c>
      <c r="D6" s="9">
        <f>C6-B6</f>
        <v>9144</v>
      </c>
      <c r="E6" s="10">
        <f>D6/B6</f>
        <v>0.10638743455497382</v>
      </c>
      <c r="F6" s="10">
        <f>D6/$D$6</f>
        <v>1</v>
      </c>
    </row>
    <row r="9" spans="1:6" ht="28.5" customHeight="1">
      <c r="A9" s="11" t="s">
        <v>19</v>
      </c>
    </row>
    <row r="10" spans="1:6" ht="14.4">
      <c r="A10" s="11" t="s">
        <v>20</v>
      </c>
      <c r="B10" t="s">
        <v>21</v>
      </c>
      <c r="C10" t="s">
        <v>22</v>
      </c>
      <c r="D10" t="s">
        <v>23</v>
      </c>
    </row>
    <row r="11" spans="1:6" ht="14.4">
      <c r="A11" s="11" t="s">
        <v>14</v>
      </c>
      <c r="B11" s="12">
        <f>B6</f>
        <v>85950</v>
      </c>
      <c r="C11" s="12">
        <v>162990</v>
      </c>
      <c r="D11" s="13">
        <f>B11/C11</f>
        <v>0.52733296521258977</v>
      </c>
    </row>
    <row r="12" spans="1:6" ht="14.4">
      <c r="A12" s="11" t="s">
        <v>15</v>
      </c>
      <c r="B12" s="12">
        <f>C6</f>
        <v>95094</v>
      </c>
      <c r="C12" s="12">
        <v>178650</v>
      </c>
      <c r="D12" s="13">
        <f>B12/C12</f>
        <v>0.53229219143576822</v>
      </c>
    </row>
    <row r="15" spans="1:6" ht="14.4">
      <c r="A15" s="11" t="s">
        <v>24</v>
      </c>
    </row>
    <row r="16" spans="1:6" ht="14.4">
      <c r="A16" s="11" t="s">
        <v>25</v>
      </c>
      <c r="B16" s="13">
        <f>(C12-C11)/C11</f>
        <v>9.6079514080618447E-2</v>
      </c>
    </row>
    <row r="17" spans="1:4" ht="14.4">
      <c r="A17" t="s">
        <v>26</v>
      </c>
      <c r="B17" s="13">
        <f>(B12-B11)/B11</f>
        <v>0.10638743455497382</v>
      </c>
    </row>
    <row r="18" spans="1:4" ht="14.4">
      <c r="A18" t="s">
        <v>27</v>
      </c>
      <c r="B18" s="14">
        <f>B17-B16</f>
        <v>1.0307920474355373E-2</v>
      </c>
    </row>
    <row r="21" spans="1:4" ht="14.4">
      <c r="A21" t="s">
        <v>28</v>
      </c>
    </row>
    <row r="22" spans="1:4" ht="14.4">
      <c r="A22" t="s">
        <v>29</v>
      </c>
      <c r="B22" t="s">
        <v>14</v>
      </c>
      <c r="C22" t="s">
        <v>15</v>
      </c>
    </row>
    <row r="23" spans="1:4" ht="14.4">
      <c r="A23" t="s">
        <v>30</v>
      </c>
      <c r="B23" s="12">
        <v>37608</v>
      </c>
      <c r="C23" s="12">
        <v>39995</v>
      </c>
    </row>
    <row r="24" spans="1:4" ht="14.4">
      <c r="A24" t="s">
        <v>31</v>
      </c>
      <c r="B24" s="12">
        <v>10858</v>
      </c>
      <c r="C24" s="12">
        <v>10521</v>
      </c>
    </row>
    <row r="25" spans="1:4" ht="14.4">
      <c r="A25" t="s">
        <v>32</v>
      </c>
      <c r="B25" s="12">
        <v>26750</v>
      </c>
      <c r="C25" s="12">
        <v>29474</v>
      </c>
    </row>
    <row r="26" spans="1:4" ht="14.4">
      <c r="A26" t="s">
        <v>33</v>
      </c>
      <c r="B26" s="13">
        <f>B24/B23</f>
        <v>0.28871516698574773</v>
      </c>
      <c r="C26" s="13">
        <f>C24/C23</f>
        <v>0.26305788223527943</v>
      </c>
    </row>
    <row r="28" spans="1:4" ht="28.5" customHeight="1">
      <c r="A28" s="1" t="s">
        <v>34</v>
      </c>
      <c r="B28" s="1" t="s">
        <v>2</v>
      </c>
      <c r="C28" s="1" t="s">
        <v>1</v>
      </c>
      <c r="D28" s="1" t="s">
        <v>17</v>
      </c>
    </row>
    <row r="29" spans="1:4" ht="14.4">
      <c r="A29" s="11" t="s">
        <v>35</v>
      </c>
      <c r="B29" s="15">
        <v>162990</v>
      </c>
      <c r="C29" s="15">
        <v>178650</v>
      </c>
      <c r="D29" s="16">
        <f>(C29-B29)/B29</f>
        <v>9.6079514080618447E-2</v>
      </c>
    </row>
    <row r="30" spans="1:4" ht="28.5" customHeight="1">
      <c r="A30" s="11" t="s">
        <v>36</v>
      </c>
      <c r="B30" s="15">
        <v>85950</v>
      </c>
      <c r="C30" s="15">
        <v>95094</v>
      </c>
      <c r="D30" s="16">
        <f>(C30-B30)/B30</f>
        <v>0.10638743455497382</v>
      </c>
    </row>
    <row r="31" spans="1:4" ht="28.5" customHeight="1">
      <c r="A31" s="11" t="s">
        <v>37</v>
      </c>
      <c r="B31" s="15">
        <v>12937</v>
      </c>
      <c r="C31" s="15">
        <v>15421</v>
      </c>
      <c r="D31" s="16">
        <f>(C31-B31)/B31</f>
        <v>0.19200742057664064</v>
      </c>
    </row>
    <row r="32" spans="1:4" ht="14.4">
      <c r="A32" s="11" t="s">
        <v>38</v>
      </c>
      <c r="B32" s="15">
        <v>15911</v>
      </c>
      <c r="C32" s="15">
        <v>15722</v>
      </c>
      <c r="D32" s="16">
        <f>(C32-B32)/B32</f>
        <v>-1.1878574571051475E-2</v>
      </c>
    </row>
    <row r="33" spans="1:4" ht="14.4">
      <c r="A33" s="11" t="s">
        <v>39</v>
      </c>
      <c r="B33" s="15">
        <v>128982</v>
      </c>
      <c r="C33" s="15">
        <v>141688</v>
      </c>
      <c r="D33" s="16">
        <f>(C33-B33)/B33</f>
        <v>9.8509869594206947E-2</v>
      </c>
    </row>
  </sheetData>
  <pageMargins left="0.7" right="0.7" top="0.75" bottom="0.75" header="0.511811023622047" footer="0.511811023622047"/>
  <pageSetup paperSize="9"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T17"/>
  <sheetViews>
    <sheetView zoomScaleNormal="100" workbookViewId="0">
      <selection activeCell="K19" sqref="K19"/>
    </sheetView>
  </sheetViews>
  <sheetFormatPr defaultColWidth="8.5546875" defaultRowHeight="14.25" customHeight="1"/>
  <cols>
    <col min="1" max="1" width="15.77734375" customWidth="1"/>
    <col min="2" max="2" width="15.88671875" customWidth="1"/>
    <col min="3" max="3" width="16" customWidth="1"/>
    <col min="4" max="4" width="12.88671875" customWidth="1"/>
    <col min="5" max="5" width="24.21875" customWidth="1"/>
    <col min="6" max="6" width="9.88671875" customWidth="1"/>
    <col min="7" max="7" width="23.44140625" customWidth="1"/>
    <col min="11" max="11" width="14.44140625" customWidth="1"/>
    <col min="12" max="12" width="15.6640625" customWidth="1"/>
    <col min="13" max="13" width="25.21875" customWidth="1"/>
    <col min="14" max="14" width="23.109375" customWidth="1"/>
    <col min="15" max="15" width="25.21875" customWidth="1"/>
    <col min="16" max="16" width="23.109375" customWidth="1"/>
    <col min="17" max="17" width="19.6640625" customWidth="1"/>
    <col min="18" max="18" width="18" customWidth="1"/>
    <col min="19" max="19" width="27.77734375" customWidth="1"/>
  </cols>
  <sheetData>
    <row r="1" spans="1:20" ht="15.75" customHeight="1">
      <c r="A1" s="1" t="s">
        <v>0</v>
      </c>
      <c r="B1" s="1" t="s">
        <v>40</v>
      </c>
      <c r="C1" s="1" t="s">
        <v>41</v>
      </c>
      <c r="E1" s="1" t="s">
        <v>29</v>
      </c>
      <c r="F1" s="1" t="s">
        <v>42</v>
      </c>
      <c r="G1" s="1" t="s">
        <v>43</v>
      </c>
      <c r="J1" s="44" t="s">
        <v>44</v>
      </c>
      <c r="K1" s="44"/>
      <c r="L1" s="44"/>
      <c r="M1" s="44"/>
      <c r="N1" s="44"/>
      <c r="O1" s="44"/>
      <c r="P1" s="44"/>
      <c r="S1" t="s">
        <v>45</v>
      </c>
    </row>
    <row r="2" spans="1:20" ht="28.5" customHeight="1">
      <c r="A2" s="11" t="s">
        <v>35</v>
      </c>
      <c r="B2" s="11">
        <v>178650</v>
      </c>
      <c r="C2" s="11">
        <f>B2*(1+$F2)</f>
        <v>192942</v>
      </c>
      <c r="E2" s="11" t="s">
        <v>46</v>
      </c>
      <c r="F2" s="16">
        <v>0.08</v>
      </c>
      <c r="G2" s="11" t="s">
        <v>47</v>
      </c>
      <c r="J2" s="4" t="s">
        <v>48</v>
      </c>
      <c r="K2" s="4" t="s">
        <v>25</v>
      </c>
      <c r="L2" s="4" t="s">
        <v>49</v>
      </c>
      <c r="M2" s="17" t="s">
        <v>50</v>
      </c>
      <c r="N2" s="18" t="s">
        <v>26</v>
      </c>
      <c r="O2" s="18" t="s">
        <v>51</v>
      </c>
      <c r="P2" s="18" t="s">
        <v>52</v>
      </c>
      <c r="S2" t="s">
        <v>53</v>
      </c>
      <c r="T2">
        <v>0</v>
      </c>
    </row>
    <row r="3" spans="1:20" ht="28.5" customHeight="1">
      <c r="A3" s="11" t="s">
        <v>36</v>
      </c>
      <c r="B3" s="11">
        <v>95094</v>
      </c>
      <c r="C3" s="11">
        <f>B3*(1+$F3)</f>
        <v>103652.46</v>
      </c>
      <c r="E3" s="11" t="s">
        <v>54</v>
      </c>
      <c r="F3" s="16">
        <v>0.09</v>
      </c>
      <c r="G3" s="11" t="s">
        <v>55</v>
      </c>
      <c r="J3" s="6" t="s">
        <v>56</v>
      </c>
      <c r="K3" s="19">
        <v>0.05</v>
      </c>
      <c r="L3" s="20">
        <f>$B$2*(1+K3)</f>
        <v>187582.5</v>
      </c>
      <c r="M3" s="21">
        <f>$B$3*(1+N3)</f>
        <v>105554.34000000001</v>
      </c>
      <c r="N3" s="22">
        <v>0.11</v>
      </c>
      <c r="O3" s="21">
        <f>L3+$C$11-$C$7-$C$12+($C$3-M3)</f>
        <v>37740.899999999994</v>
      </c>
      <c r="P3" s="10">
        <f>O3/L3</f>
        <v>0.20119627363959855</v>
      </c>
      <c r="S3" t="s">
        <v>57</v>
      </c>
      <c r="T3">
        <v>0</v>
      </c>
    </row>
    <row r="4" spans="1:20" ht="28.5" customHeight="1">
      <c r="A4" s="11" t="s">
        <v>58</v>
      </c>
      <c r="B4" s="11">
        <v>15421</v>
      </c>
      <c r="C4" s="11">
        <f>B4*(1+$F4)</f>
        <v>16192.050000000001</v>
      </c>
      <c r="E4" s="11" t="s">
        <v>59</v>
      </c>
      <c r="F4" s="16">
        <v>0.05</v>
      </c>
      <c r="G4" s="11" t="s">
        <v>60</v>
      </c>
      <c r="J4" s="6" t="s">
        <v>61</v>
      </c>
      <c r="K4" s="19">
        <v>0.08</v>
      </c>
      <c r="L4" s="20">
        <f>$B$2*(1+K4)</f>
        <v>192942</v>
      </c>
      <c r="M4" s="21">
        <f>$B$3*(1+N4)</f>
        <v>103652.46</v>
      </c>
      <c r="N4" s="22">
        <v>0.09</v>
      </c>
      <c r="O4" s="21">
        <f>L4+$C$11-$C$7-$C$12+($C$3-M4)</f>
        <v>45002.28</v>
      </c>
      <c r="P4" s="10">
        <f>O4/L4</f>
        <v>0.2332425288428647</v>
      </c>
      <c r="S4" t="s">
        <v>62</v>
      </c>
      <c r="T4">
        <v>0</v>
      </c>
    </row>
    <row r="5" spans="1:20" ht="28.5" customHeight="1">
      <c r="A5" s="11" t="s">
        <v>63</v>
      </c>
      <c r="B5" s="11">
        <v>15722</v>
      </c>
      <c r="C5" s="11">
        <f>B5*(1+$F5)</f>
        <v>16193.66</v>
      </c>
      <c r="E5" s="11" t="s">
        <v>64</v>
      </c>
      <c r="F5" s="16">
        <v>0.03</v>
      </c>
      <c r="G5" s="11" t="s">
        <v>60</v>
      </c>
      <c r="J5" s="6" t="s">
        <v>65</v>
      </c>
      <c r="K5" s="19">
        <v>0.12</v>
      </c>
      <c r="L5" s="20">
        <f>$B$2*(1+K5)</f>
        <v>200088.00000000003</v>
      </c>
      <c r="M5" s="21">
        <f>$B$3*(1+N5)</f>
        <v>102701.52</v>
      </c>
      <c r="N5" s="22">
        <v>0.08</v>
      </c>
      <c r="O5" s="21">
        <f>L5+$C$11-$C$7-$C$12+($C$3-M5)</f>
        <v>53099.22000000003</v>
      </c>
      <c r="P5" s="10">
        <f>O5/L5</f>
        <v>0.26537933309343897</v>
      </c>
      <c r="S5" t="s">
        <v>66</v>
      </c>
      <c r="T5">
        <v>0</v>
      </c>
    </row>
    <row r="6" spans="1:20" ht="14.4">
      <c r="A6" s="11" t="s">
        <v>67</v>
      </c>
      <c r="B6" s="11">
        <f>B7-SUM(B3:B5)</f>
        <v>15451</v>
      </c>
      <c r="C6" s="11">
        <f>B6*(1+$F6)</f>
        <v>16223.550000000001</v>
      </c>
      <c r="E6" s="11" t="s">
        <v>68</v>
      </c>
      <c r="F6" s="16">
        <v>0.05</v>
      </c>
      <c r="G6" s="11" t="s">
        <v>60</v>
      </c>
      <c r="S6" t="s">
        <v>69</v>
      </c>
      <c r="T6">
        <v>0</v>
      </c>
    </row>
    <row r="7" spans="1:20" ht="28.5" customHeight="1">
      <c r="A7" s="11" t="s">
        <v>39</v>
      </c>
      <c r="B7" s="11">
        <v>141688</v>
      </c>
      <c r="C7" s="11">
        <f>SUM(C3:C6)</f>
        <v>152261.72</v>
      </c>
      <c r="E7" s="11" t="s">
        <v>70</v>
      </c>
      <c r="F7" s="16">
        <v>0.05</v>
      </c>
      <c r="G7" s="11" t="s">
        <v>60</v>
      </c>
    </row>
    <row r="8" spans="1:20" ht="28.5" customHeight="1">
      <c r="A8" s="11" t="s">
        <v>71</v>
      </c>
      <c r="B8" s="11">
        <v>39995</v>
      </c>
      <c r="C8" s="23">
        <f>C2+(B11*(1+$F$10))-C7-C12</f>
        <v>45002.28</v>
      </c>
      <c r="E8" s="11" t="s">
        <v>72</v>
      </c>
      <c r="F8" s="16">
        <v>0</v>
      </c>
      <c r="G8" s="11" t="s">
        <v>73</v>
      </c>
    </row>
    <row r="9" spans="1:20" ht="28.5" customHeight="1">
      <c r="A9" s="11" t="s">
        <v>31</v>
      </c>
      <c r="B9" s="11">
        <v>10521</v>
      </c>
      <c r="C9" s="23">
        <f>C8*$F$9</f>
        <v>11835.59964</v>
      </c>
      <c r="E9" s="11" t="s">
        <v>33</v>
      </c>
      <c r="F9" s="16">
        <v>0.26300000000000001</v>
      </c>
      <c r="G9" s="11" t="s">
        <v>74</v>
      </c>
    </row>
    <row r="10" spans="1:20" ht="28.5" customHeight="1">
      <c r="A10" s="11" t="s">
        <v>75</v>
      </c>
      <c r="B10" s="11">
        <v>29474</v>
      </c>
      <c r="C10" s="23">
        <f>C8-C9</f>
        <v>33166.680359999998</v>
      </c>
      <c r="E10" s="11" t="s">
        <v>76</v>
      </c>
      <c r="F10" s="16">
        <v>0</v>
      </c>
      <c r="G10" s="11" t="s">
        <v>73</v>
      </c>
    </row>
    <row r="11" spans="1:20" ht="42.75" customHeight="1">
      <c r="A11" t="s">
        <v>77</v>
      </c>
      <c r="B11" s="12">
        <v>4322</v>
      </c>
      <c r="C11">
        <f>B11*(1+$F$10)</f>
        <v>4322</v>
      </c>
      <c r="E11" s="11" t="s">
        <v>78</v>
      </c>
      <c r="F11" s="16">
        <v>0</v>
      </c>
      <c r="G11" s="11" t="s">
        <v>79</v>
      </c>
    </row>
    <row r="12" spans="1:20" ht="28.5" customHeight="1">
      <c r="A12" t="s">
        <v>80</v>
      </c>
      <c r="B12" s="12">
        <v>1289</v>
      </c>
      <c r="C12">
        <v>0</v>
      </c>
      <c r="E12" s="11" t="s">
        <v>81</v>
      </c>
      <c r="F12" s="16">
        <v>0.05</v>
      </c>
      <c r="G12" s="11" t="s">
        <v>82</v>
      </c>
    </row>
    <row r="13" spans="1:20" ht="28.5" customHeight="1">
      <c r="E13" s="11" t="s">
        <v>83</v>
      </c>
      <c r="F13" s="16">
        <v>0.08</v>
      </c>
      <c r="G13" s="11" t="s">
        <v>84</v>
      </c>
    </row>
    <row r="14" spans="1:20" ht="14.4">
      <c r="A14" t="s">
        <v>85</v>
      </c>
      <c r="C14" s="13">
        <f>C8/C2</f>
        <v>0.2332425288428647</v>
      </c>
    </row>
    <row r="15" spans="1:20" ht="14.4">
      <c r="A15" t="s">
        <v>86</v>
      </c>
      <c r="C15" s="13">
        <f>C10/C2</f>
        <v>0.17189974375719128</v>
      </c>
    </row>
    <row r="16" spans="1:20" ht="14.4">
      <c r="A16" t="s">
        <v>46</v>
      </c>
      <c r="C16" s="13">
        <f>C2/B2-1</f>
        <v>8.0000000000000071E-2</v>
      </c>
    </row>
    <row r="17" spans="1:3" ht="14.4">
      <c r="A17" t="s">
        <v>87</v>
      </c>
      <c r="C17" s="13">
        <f>C10/B10-1</f>
        <v>0.12528602700685343</v>
      </c>
    </row>
  </sheetData>
  <mergeCells count="1">
    <mergeCell ref="J1:P1"/>
  </mergeCells>
  <pageMargins left="0.7" right="0.7" top="0.75" bottom="0.75" header="0.511811023622047" footer="0.511811023622047"/>
  <pageSetup paperSize="9" orientation="portrait" horizontalDpi="300" verticalDpi="300"/>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48"/>
  <sheetViews>
    <sheetView topLeftCell="A4" zoomScaleNormal="100" workbookViewId="0">
      <selection activeCell="H22" sqref="H22"/>
    </sheetView>
  </sheetViews>
  <sheetFormatPr defaultColWidth="8.5546875" defaultRowHeight="14.25" customHeight="1"/>
  <cols>
    <col min="1" max="1" width="29.77734375" customWidth="1"/>
    <col min="2" max="2" width="15.21875" customWidth="1"/>
    <col min="3" max="3" width="17.33203125" customWidth="1"/>
  </cols>
  <sheetData>
    <row r="1" spans="1:3">
      <c r="A1" t="s">
        <v>88</v>
      </c>
    </row>
    <row r="2" spans="1:3">
      <c r="A2" t="s">
        <v>0</v>
      </c>
      <c r="B2" t="s">
        <v>89</v>
      </c>
      <c r="C2" t="s">
        <v>90</v>
      </c>
    </row>
    <row r="3" spans="1:3">
      <c r="A3" t="s">
        <v>91</v>
      </c>
      <c r="B3">
        <f>'03_Budget_Forecast'!B10</f>
        <v>29474</v>
      </c>
      <c r="C3" s="24">
        <f>'03_Budget_Forecast'!C10</f>
        <v>33166.680359999998</v>
      </c>
    </row>
    <row r="4" spans="1:3">
      <c r="A4" t="s">
        <v>92</v>
      </c>
      <c r="B4">
        <f>('08_Cash_Flow'!C5)</f>
        <v>4902</v>
      </c>
      <c r="C4">
        <f>B4*(1+'03_Budget_Forecast'!$F$7)</f>
        <v>5147.1000000000004</v>
      </c>
    </row>
    <row r="5" spans="1:3">
      <c r="A5" t="s">
        <v>93</v>
      </c>
      <c r="B5">
        <v>-2650</v>
      </c>
      <c r="C5">
        <f>-(('07_Balance_Sheet'!E16+'07_Balance_Sheet'!E21-'07_Balance_Sheet'!E40-'07_Balance_Sheet'!E42-'07_Balance_Sheet'!E43)-'07_Balance_Sheet'!C100)</f>
        <v>-3650.8000000000029</v>
      </c>
    </row>
    <row r="6" spans="1:3">
      <c r="A6" t="s">
        <v>94</v>
      </c>
      <c r="B6" s="12">
        <f>'08_Cash_Flow'!C20-B3-B4-B5-'08_Cash_Flow'!C4</f>
        <v>387</v>
      </c>
      <c r="C6" s="12">
        <f>B6</f>
        <v>387</v>
      </c>
    </row>
    <row r="7" spans="1:3">
      <c r="A7" t="s">
        <v>95</v>
      </c>
      <c r="B7" s="12">
        <f>'08_Cash_Flow'!C22</f>
        <v>33986</v>
      </c>
      <c r="C7" s="24">
        <f>SUM(C3:C6)</f>
        <v>35049.980359999994</v>
      </c>
    </row>
    <row r="8" spans="1:3">
      <c r="A8" t="s">
        <v>96</v>
      </c>
      <c r="B8" s="12">
        <v>2727</v>
      </c>
      <c r="C8">
        <v>2863.35</v>
      </c>
    </row>
    <row r="9" spans="1:3">
      <c r="A9" t="s">
        <v>97</v>
      </c>
      <c r="B9" s="12">
        <f>B7-B8</f>
        <v>31259</v>
      </c>
      <c r="C9" s="24">
        <f>C7-C8</f>
        <v>32186.630359999996</v>
      </c>
    </row>
    <row r="10" spans="1:3">
      <c r="A10" t="s">
        <v>98</v>
      </c>
      <c r="B10" s="12">
        <f>'08_Cash_Flow'!C63</f>
        <v>24455</v>
      </c>
      <c r="C10" s="12">
        <f>B12</f>
        <v>22201</v>
      </c>
    </row>
    <row r="11" spans="1:3">
      <c r="A11" t="s">
        <v>99</v>
      </c>
      <c r="B11" s="12">
        <f>'08_Cash_Flow'!C61</f>
        <v>-3854</v>
      </c>
      <c r="C11" s="12">
        <f>C12-C10</f>
        <v>28865.730359999987</v>
      </c>
    </row>
    <row r="12" spans="1:3">
      <c r="A12" t="s">
        <v>100</v>
      </c>
      <c r="B12" s="12">
        <f>'08_Cash_Flow'!C64</f>
        <v>22201</v>
      </c>
      <c r="C12" s="12">
        <f>C27</f>
        <v>51066.730359999987</v>
      </c>
    </row>
    <row r="13" spans="1:3">
      <c r="A13" s="25" t="s">
        <v>101</v>
      </c>
      <c r="B13" s="26">
        <f>'07_Balance_Sheet'!C23</f>
        <v>155967</v>
      </c>
      <c r="C13" s="12">
        <f>'07_Balance_Sheet'!E23</f>
        <v>189972.00036000001</v>
      </c>
    </row>
    <row r="14" spans="1:3">
      <c r="A14" t="s">
        <v>102</v>
      </c>
      <c r="B14" s="12">
        <f>'07_Balance_Sheet'!C31</f>
        <v>93297</v>
      </c>
      <c r="C14" s="12">
        <f>'07_Balance_Sheet'!E31</f>
        <v>126463.68036</v>
      </c>
    </row>
    <row r="15" spans="1:3">
      <c r="A15" t="s">
        <v>103</v>
      </c>
      <c r="B15" s="12">
        <f>'07_Balance_Sheet'!C46</f>
        <v>62670</v>
      </c>
      <c r="C15">
        <f>'07_Balance_Sheet'!E46</f>
        <v>63508.320000000007</v>
      </c>
    </row>
    <row r="16" spans="1:3">
      <c r="A16" s="25" t="s">
        <v>104</v>
      </c>
      <c r="B16" s="26">
        <f>'07_Balance_Sheet'!C47</f>
        <v>155967</v>
      </c>
      <c r="C16" s="26">
        <f>C14+C15</f>
        <v>189972.00036000001</v>
      </c>
    </row>
    <row r="17" spans="1:5">
      <c r="A17" s="25" t="s">
        <v>105</v>
      </c>
      <c r="B17" s="26">
        <f>B13-B16</f>
        <v>0</v>
      </c>
      <c r="C17" s="26">
        <f>C13-C16</f>
        <v>0</v>
      </c>
      <c r="E17" s="27"/>
    </row>
    <row r="19" spans="1:5">
      <c r="A19" t="s">
        <v>0</v>
      </c>
      <c r="B19" t="s">
        <v>89</v>
      </c>
      <c r="C19" t="s">
        <v>90</v>
      </c>
    </row>
    <row r="20" spans="1:5">
      <c r="A20" t="s">
        <v>106</v>
      </c>
      <c r="B20">
        <v>2727</v>
      </c>
      <c r="C20">
        <v>2863.35</v>
      </c>
    </row>
    <row r="21" spans="1:5">
      <c r="A21" t="s">
        <v>53</v>
      </c>
      <c r="C21">
        <v>0</v>
      </c>
    </row>
    <row r="22" spans="1:5">
      <c r="A22" t="s">
        <v>57</v>
      </c>
      <c r="C22">
        <v>0</v>
      </c>
    </row>
    <row r="23" spans="1:5">
      <c r="A23" t="s">
        <v>62</v>
      </c>
      <c r="C23">
        <v>0</v>
      </c>
    </row>
    <row r="24" spans="1:5">
      <c r="A24" t="s">
        <v>107</v>
      </c>
      <c r="C24">
        <f>('07_Balance_Sheet'!E47-('07_Balance_Sheet'!E14+SUM('07_Balance_Sheet'!E15:E16,'07_Balance_Sheet'!E18:E21)))-C10-(C7-C20+C21-C22-C23+C25)</f>
        <v>-3320.9000000000087</v>
      </c>
    </row>
    <row r="25" spans="1:5">
      <c r="A25" t="s">
        <v>69</v>
      </c>
      <c r="B25">
        <v>1600</v>
      </c>
      <c r="C25">
        <v>0</v>
      </c>
    </row>
    <row r="26" spans="1:5">
      <c r="A26" t="s">
        <v>108</v>
      </c>
      <c r="C26" s="24">
        <f>C7-C20+C21-C22-C23+C24+C25</f>
        <v>28865.730359999987</v>
      </c>
    </row>
    <row r="27" spans="1:5">
      <c r="A27" t="s">
        <v>109</v>
      </c>
      <c r="C27" s="12">
        <f>C10+C26</f>
        <v>51066.730359999987</v>
      </c>
    </row>
    <row r="48" spans="5:5">
      <c r="E48" s="23"/>
    </row>
  </sheetData>
  <pageMargins left="0.7" right="0.7" top="0.75" bottom="0.75" header="0.511811023622047" footer="0.511811023622047"/>
  <pageSetup paperSize="9" orientation="portrait" horizontalDpi="300" verticalDpi="300"/>
  <legacy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2"/>
  <sheetViews>
    <sheetView zoomScaleNormal="100" workbookViewId="0">
      <selection activeCell="G16" sqref="G16"/>
    </sheetView>
  </sheetViews>
  <sheetFormatPr defaultColWidth="14.21875" defaultRowHeight="14.25" customHeight="1"/>
  <cols>
    <col min="1" max="1" width="13.5546875" customWidth="1"/>
    <col min="2" max="2" width="15.5546875" customWidth="1"/>
    <col min="3" max="3" width="17.5546875" customWidth="1"/>
    <col min="4" max="4" width="9.109375" customWidth="1"/>
    <col min="5" max="5" width="9" customWidth="1"/>
  </cols>
  <sheetData>
    <row r="1" spans="1:5" ht="28.5" customHeight="1">
      <c r="A1" s="1" t="s">
        <v>0</v>
      </c>
      <c r="B1" s="1" t="s">
        <v>1</v>
      </c>
      <c r="C1" s="1" t="s">
        <v>110</v>
      </c>
      <c r="D1" s="1" t="s">
        <v>111</v>
      </c>
      <c r="E1" s="1" t="s">
        <v>112</v>
      </c>
    </row>
    <row r="2" spans="1:5" ht="28.5" customHeight="1">
      <c r="A2" s="11" t="s">
        <v>35</v>
      </c>
      <c r="B2" s="15">
        <f>'03_Budget_Forecast'!B2</f>
        <v>178650</v>
      </c>
      <c r="C2" s="24">
        <f>'03_Budget_Forecast'!C2</f>
        <v>192942</v>
      </c>
      <c r="D2" s="28">
        <f t="shared" ref="D2:D10" si="0">C2-B2</f>
        <v>14292</v>
      </c>
      <c r="E2" s="16">
        <f t="shared" ref="E2:E10" si="1">IFERROR(D2/B2,0)</f>
        <v>0.08</v>
      </c>
    </row>
    <row r="3" spans="1:5" ht="42.75" customHeight="1">
      <c r="A3" s="11" t="s">
        <v>36</v>
      </c>
      <c r="B3" s="15">
        <f>'03_Budget_Forecast'!B3</f>
        <v>95094</v>
      </c>
      <c r="C3" s="24">
        <f>'03_Budget_Forecast'!C3</f>
        <v>103652.46</v>
      </c>
      <c r="D3" s="28">
        <f t="shared" si="0"/>
        <v>8558.4600000000064</v>
      </c>
      <c r="E3" s="16">
        <f t="shared" si="1"/>
        <v>9.0000000000000066E-2</v>
      </c>
    </row>
    <row r="4" spans="1:5" ht="28.5" customHeight="1">
      <c r="A4" s="11" t="s">
        <v>113</v>
      </c>
      <c r="B4" s="15">
        <f>'03_Budget_Forecast'!B4</f>
        <v>15421</v>
      </c>
      <c r="C4" s="24">
        <f>'03_Budget_Forecast'!C4</f>
        <v>16192.050000000001</v>
      </c>
      <c r="D4" s="28">
        <f t="shared" si="0"/>
        <v>771.05000000000109</v>
      </c>
      <c r="E4" s="16">
        <f t="shared" si="1"/>
        <v>5.0000000000000072E-2</v>
      </c>
    </row>
    <row r="5" spans="1:5" ht="28.5" customHeight="1">
      <c r="A5" s="11" t="s">
        <v>114</v>
      </c>
      <c r="B5" s="15">
        <f>'03_Budget_Forecast'!B5</f>
        <v>15722</v>
      </c>
      <c r="C5" s="24">
        <f>'03_Budget_Forecast'!C5</f>
        <v>16193.66</v>
      </c>
      <c r="D5" s="28">
        <f t="shared" si="0"/>
        <v>471.65999999999985</v>
      </c>
      <c r="E5" s="16">
        <f t="shared" si="1"/>
        <v>2.9999999999999992E-2</v>
      </c>
    </row>
    <row r="6" spans="1:5" ht="14.4">
      <c r="A6" s="11" t="s">
        <v>67</v>
      </c>
      <c r="B6" s="15">
        <f>'03_Budget_Forecast'!B6</f>
        <v>15451</v>
      </c>
      <c r="C6" s="24">
        <f>'03_Budget_Forecast'!C6</f>
        <v>16223.550000000001</v>
      </c>
      <c r="D6" s="28">
        <f t="shared" si="0"/>
        <v>772.55000000000109</v>
      </c>
      <c r="E6" s="16">
        <f t="shared" si="1"/>
        <v>5.0000000000000072E-2</v>
      </c>
    </row>
    <row r="7" spans="1:5" ht="14.4">
      <c r="A7" s="11" t="s">
        <v>39</v>
      </c>
      <c r="B7" s="15">
        <f>'03_Budget_Forecast'!B7</f>
        <v>141688</v>
      </c>
      <c r="C7" s="24">
        <f>'03_Budget_Forecast'!C7</f>
        <v>152261.72</v>
      </c>
      <c r="D7" s="28">
        <f t="shared" si="0"/>
        <v>10573.720000000001</v>
      </c>
      <c r="E7" s="16">
        <f t="shared" si="1"/>
        <v>7.4626785613460575E-2</v>
      </c>
    </row>
    <row r="8" spans="1:5" ht="14.4">
      <c r="A8" s="11" t="s">
        <v>30</v>
      </c>
      <c r="B8" s="15">
        <f>'03_Budget_Forecast'!B8</f>
        <v>39995</v>
      </c>
      <c r="C8" s="24">
        <f>'03_Budget_Forecast'!C8</f>
        <v>45002.28</v>
      </c>
      <c r="D8" s="28">
        <f t="shared" si="0"/>
        <v>5007.2799999999988</v>
      </c>
      <c r="E8" s="16">
        <f t="shared" si="1"/>
        <v>0.12519764970621325</v>
      </c>
    </row>
    <row r="9" spans="1:5" ht="14.4">
      <c r="A9" s="11" t="s">
        <v>31</v>
      </c>
      <c r="B9" s="15">
        <f>'03_Budget_Forecast'!B9</f>
        <v>10521</v>
      </c>
      <c r="C9" s="24">
        <f>'03_Budget_Forecast'!C9</f>
        <v>11835.59964</v>
      </c>
      <c r="D9" s="28">
        <f t="shared" si="0"/>
        <v>1314.5996400000004</v>
      </c>
      <c r="E9" s="16">
        <f t="shared" si="1"/>
        <v>0.12495006558311951</v>
      </c>
    </row>
    <row r="10" spans="1:5" ht="14.4">
      <c r="A10" s="11" t="s">
        <v>32</v>
      </c>
      <c r="B10" s="15">
        <f>'03_Budget_Forecast'!B10</f>
        <v>29474</v>
      </c>
      <c r="C10" s="24">
        <f>'03_Budget_Forecast'!C10</f>
        <v>33166.680359999998</v>
      </c>
      <c r="D10" s="28">
        <f t="shared" si="0"/>
        <v>3692.6803599999985</v>
      </c>
      <c r="E10" s="16">
        <f t="shared" si="1"/>
        <v>0.12528602700685346</v>
      </c>
    </row>
    <row r="14" spans="1:5" ht="14.4">
      <c r="B14" s="11"/>
      <c r="C14" s="11"/>
    </row>
    <row r="15" spans="1:5" ht="14.4">
      <c r="B15" s="11"/>
      <c r="C15" s="11"/>
    </row>
    <row r="16" spans="1:5" ht="14.4">
      <c r="B16" s="11"/>
      <c r="C16" s="11"/>
    </row>
    <row r="17" spans="2:3" ht="14.4">
      <c r="B17" s="11"/>
      <c r="C17" s="11"/>
    </row>
    <row r="18" spans="2:3" ht="14.4">
      <c r="B18" s="11"/>
      <c r="C18" s="11"/>
    </row>
    <row r="19" spans="2:3" ht="14.4">
      <c r="B19" s="11"/>
      <c r="C19" s="11"/>
    </row>
    <row r="20" spans="2:3" ht="14.4">
      <c r="B20" s="11"/>
      <c r="C20" s="11"/>
    </row>
    <row r="21" spans="2:3" ht="14.4">
      <c r="B21" s="11"/>
      <c r="C21" s="11"/>
    </row>
    <row r="22" spans="2:3" ht="14.4">
      <c r="B22" s="11"/>
      <c r="C22" s="11"/>
    </row>
  </sheetData>
  <pageMargins left="0.7" right="0.7" top="0.75" bottom="0.75" header="0.511811023622047" footer="0.511811023622047"/>
  <pageSetup paperSize="9" orientation="portrait" horizontalDpi="300" verticalDpi="30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31"/>
  <sheetViews>
    <sheetView topLeftCell="A11" zoomScaleNormal="100" workbookViewId="0">
      <selection activeCell="A31" sqref="A31"/>
    </sheetView>
  </sheetViews>
  <sheetFormatPr defaultColWidth="8.5546875" defaultRowHeight="14.25" customHeight="1"/>
  <cols>
    <col min="1" max="1" width="55" customWidth="1"/>
    <col min="2" max="3" width="15.33203125" customWidth="1"/>
  </cols>
  <sheetData>
    <row r="1" spans="1:1" ht="14.4">
      <c r="A1" t="s">
        <v>115</v>
      </c>
    </row>
    <row r="3" spans="1:1" ht="14.4">
      <c r="A3" t="s">
        <v>116</v>
      </c>
    </row>
    <row r="4" spans="1:1" ht="14.4">
      <c r="A4" t="s">
        <v>117</v>
      </c>
    </row>
    <row r="5" spans="1:1" ht="14.4">
      <c r="A5" t="s">
        <v>118</v>
      </c>
    </row>
    <row r="6" spans="1:1" ht="14.4">
      <c r="A6" t="s">
        <v>119</v>
      </c>
    </row>
    <row r="8" spans="1:1" ht="345" customHeight="1">
      <c r="A8" s="29" t="s">
        <v>120</v>
      </c>
    </row>
    <row r="10" spans="1:1" ht="172.5" customHeight="1">
      <c r="A10" s="29" t="s">
        <v>121</v>
      </c>
    </row>
    <row r="12" spans="1:1" ht="14.4">
      <c r="A12" t="s">
        <v>122</v>
      </c>
    </row>
    <row r="13" spans="1:1" ht="14.4">
      <c r="A13" t="s">
        <v>123</v>
      </c>
    </row>
    <row r="15" spans="1:1" ht="14.4">
      <c r="A15" t="s">
        <v>124</v>
      </c>
    </row>
    <row r="17" spans="1:1" ht="14.4">
      <c r="A17" s="25" t="s">
        <v>125</v>
      </c>
    </row>
    <row r="19" spans="1:1" ht="14.4">
      <c r="A19" t="s">
        <v>126</v>
      </c>
    </row>
    <row r="21" spans="1:1" ht="14.4">
      <c r="A21" t="s">
        <v>127</v>
      </c>
    </row>
    <row r="23" spans="1:1" ht="14.4">
      <c r="A23" s="25" t="s">
        <v>128</v>
      </c>
    </row>
    <row r="25" spans="1:1" ht="14.4">
      <c r="A25" s="25" t="s">
        <v>129</v>
      </c>
    </row>
    <row r="27" spans="1:1" ht="14.4">
      <c r="A27" s="25" t="s">
        <v>130</v>
      </c>
    </row>
    <row r="29" spans="1:1" ht="14.4">
      <c r="A29" s="25" t="s">
        <v>131</v>
      </c>
    </row>
    <row r="31" spans="1:1" ht="14.4">
      <c r="A31" s="25" t="s">
        <v>132</v>
      </c>
    </row>
  </sheetData>
  <pageMargins left="0.7" right="0.7" top="0.75" bottom="0.75" header="0.511811023622047" footer="0.511811023622047"/>
  <pageSetup paperSize="9" orientation="portrait" horizontalDpi="300" verticalDpi="30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I110"/>
  <sheetViews>
    <sheetView topLeftCell="A50" zoomScaleNormal="100" workbookViewId="0">
      <selection activeCell="C116" sqref="C116"/>
    </sheetView>
  </sheetViews>
  <sheetFormatPr defaultColWidth="8.5546875" defaultRowHeight="14.25" customHeight="1"/>
  <cols>
    <col min="1" max="1" width="48.5546875" customWidth="1"/>
    <col min="2" max="3" width="17.33203125" customWidth="1"/>
  </cols>
  <sheetData>
    <row r="1" spans="1:9" ht="16.350000000000001" customHeight="1">
      <c r="A1" s="45" t="s">
        <v>133</v>
      </c>
      <c r="B1" s="45"/>
      <c r="C1" s="45"/>
    </row>
    <row r="2" spans="1:9" ht="14.4">
      <c r="A2" s="25" t="s">
        <v>0</v>
      </c>
      <c r="B2" s="25" t="s">
        <v>14</v>
      </c>
      <c r="C2" s="25" t="s">
        <v>15</v>
      </c>
    </row>
    <row r="3" spans="1:9" ht="14.4">
      <c r="A3" t="s">
        <v>7</v>
      </c>
      <c r="B3" s="11">
        <v>26750</v>
      </c>
      <c r="C3" s="11">
        <v>29474</v>
      </c>
      <c r="D3" s="1"/>
      <c r="G3" s="1"/>
      <c r="H3" s="1"/>
      <c r="I3" s="1"/>
    </row>
    <row r="4" spans="1:9" ht="14.4">
      <c r="A4" t="s">
        <v>134</v>
      </c>
      <c r="B4" s="11">
        <v>10858</v>
      </c>
      <c r="C4" s="11">
        <v>10521</v>
      </c>
      <c r="D4" s="11"/>
      <c r="G4" s="11"/>
    </row>
    <row r="5" spans="1:9" ht="14.4">
      <c r="A5" t="s">
        <v>135</v>
      </c>
      <c r="B5" s="11">
        <v>4812</v>
      </c>
      <c r="C5" s="11">
        <v>4902</v>
      </c>
      <c r="D5" s="11"/>
      <c r="G5" s="11"/>
    </row>
    <row r="6" spans="1:9" ht="14.4">
      <c r="A6" t="s">
        <v>136</v>
      </c>
      <c r="B6" s="11">
        <v>-2570</v>
      </c>
      <c r="C6" s="11">
        <v>-2630</v>
      </c>
      <c r="D6" s="11"/>
      <c r="G6" s="11"/>
    </row>
    <row r="7" spans="1:9" ht="14.4">
      <c r="A7" t="s">
        <v>137</v>
      </c>
      <c r="B7" s="11">
        <v>416</v>
      </c>
      <c r="C7" s="11">
        <v>416</v>
      </c>
      <c r="D7" s="11"/>
      <c r="G7" s="11"/>
    </row>
    <row r="8" spans="1:9" ht="14.4">
      <c r="A8" t="s">
        <v>138</v>
      </c>
      <c r="B8" s="11">
        <v>48</v>
      </c>
      <c r="C8" s="11">
        <v>33</v>
      </c>
      <c r="D8" s="11"/>
      <c r="G8" s="11"/>
    </row>
    <row r="9" spans="1:9" ht="14.4">
      <c r="A9" t="s">
        <v>139</v>
      </c>
      <c r="B9" s="11">
        <v>79</v>
      </c>
      <c r="C9" s="11">
        <v>954</v>
      </c>
      <c r="D9" s="11"/>
      <c r="G9" s="11"/>
    </row>
    <row r="10" spans="1:9" ht="14.4">
      <c r="A10" t="s">
        <v>140</v>
      </c>
      <c r="B10" s="11">
        <v>802</v>
      </c>
      <c r="C10" s="11">
        <v>952</v>
      </c>
      <c r="D10" s="11"/>
      <c r="G10" s="11"/>
    </row>
    <row r="11" spans="1:9" ht="14.4">
      <c r="A11" t="s">
        <v>141</v>
      </c>
      <c r="B11" s="11">
        <v>-327</v>
      </c>
      <c r="C11" s="11">
        <v>-63</v>
      </c>
      <c r="D11" s="11"/>
      <c r="G11" s="11"/>
    </row>
    <row r="12" spans="1:9" ht="14.4">
      <c r="A12" t="s">
        <v>142</v>
      </c>
      <c r="B12" s="11">
        <v>-110</v>
      </c>
      <c r="C12" s="11">
        <v>-167</v>
      </c>
      <c r="D12" s="11"/>
      <c r="G12" s="11"/>
    </row>
    <row r="13" spans="1:9" ht="14.4">
      <c r="A13" t="s">
        <v>143</v>
      </c>
      <c r="B13" s="11">
        <v>833</v>
      </c>
      <c r="C13" s="11">
        <v>881</v>
      </c>
      <c r="D13" s="11"/>
      <c r="G13" s="11"/>
    </row>
    <row r="14" spans="1:9" ht="14.4">
      <c r="A14" s="25" t="s">
        <v>144</v>
      </c>
      <c r="B14" s="30"/>
      <c r="C14" s="30"/>
      <c r="D14" s="11"/>
      <c r="G14" s="11"/>
    </row>
    <row r="15" spans="1:9" ht="15.75" customHeight="1">
      <c r="A15" s="3" t="s">
        <v>0</v>
      </c>
      <c r="B15" s="3" t="s">
        <v>14</v>
      </c>
      <c r="C15" s="3" t="s">
        <v>145</v>
      </c>
    </row>
    <row r="16" spans="1:9" ht="14.4">
      <c r="A16" s="11" t="s">
        <v>146</v>
      </c>
      <c r="B16" s="15">
        <v>-1769</v>
      </c>
      <c r="C16" s="15">
        <v>-5177</v>
      </c>
    </row>
    <row r="17" spans="1:3" ht="14.4">
      <c r="A17" s="11" t="s">
        <v>147</v>
      </c>
      <c r="B17" s="15">
        <v>-1024</v>
      </c>
      <c r="C17" s="15">
        <v>-2645</v>
      </c>
    </row>
    <row r="18" spans="1:3" ht="14.4">
      <c r="A18" s="11" t="s">
        <v>148</v>
      </c>
      <c r="B18" s="11">
        <v>176</v>
      </c>
      <c r="C18" s="11">
        <v>-26</v>
      </c>
    </row>
    <row r="19" spans="1:3" ht="14.4">
      <c r="A19" s="11" t="s">
        <v>149</v>
      </c>
      <c r="B19" s="15">
        <v>2322</v>
      </c>
      <c r="C19" s="15">
        <v>5209</v>
      </c>
    </row>
    <row r="20" spans="1:3" ht="14.4">
      <c r="A20" s="11" t="s">
        <v>150</v>
      </c>
      <c r="B20" s="15">
        <v>41296</v>
      </c>
      <c r="C20" s="15">
        <v>42634</v>
      </c>
    </row>
    <row r="21" spans="1:3" ht="14.4">
      <c r="A21" s="11" t="s">
        <v>151</v>
      </c>
      <c r="B21" s="15">
        <v>-5602</v>
      </c>
      <c r="C21" s="15">
        <v>-8648</v>
      </c>
    </row>
    <row r="22" spans="1:3" ht="14.4">
      <c r="A22" s="11" t="s">
        <v>152</v>
      </c>
      <c r="B22" s="15">
        <v>35694</v>
      </c>
      <c r="C22" s="15">
        <v>33986</v>
      </c>
    </row>
    <row r="23" spans="1:3" ht="14.4">
      <c r="A23" s="1" t="s">
        <v>0</v>
      </c>
      <c r="B23" s="1" t="s">
        <v>14</v>
      </c>
      <c r="C23" s="1" t="s">
        <v>15</v>
      </c>
    </row>
    <row r="24" spans="1:3" ht="14.4">
      <c r="A24" s="30" t="s">
        <v>153</v>
      </c>
      <c r="B24" s="11"/>
      <c r="C24" s="11"/>
    </row>
    <row r="25" spans="1:3" ht="28.5" customHeight="1">
      <c r="A25" s="11" t="s">
        <v>154</v>
      </c>
      <c r="B25" s="15">
        <v>-2237</v>
      </c>
      <c r="C25" s="15">
        <v>-2727</v>
      </c>
    </row>
    <row r="26" spans="1:3" ht="14.4">
      <c r="A26" s="11" t="s">
        <v>155</v>
      </c>
      <c r="B26" s="15">
        <v>-1225</v>
      </c>
      <c r="C26" s="11">
        <v>-944</v>
      </c>
    </row>
    <row r="27" spans="1:3" ht="14.4">
      <c r="A27" s="11" t="s">
        <v>156</v>
      </c>
      <c r="B27" s="11">
        <v>776</v>
      </c>
      <c r="C27" s="11">
        <v>725</v>
      </c>
    </row>
    <row r="28" spans="1:3" ht="14.4">
      <c r="A28" s="11" t="s">
        <v>157</v>
      </c>
      <c r="B28" s="15">
        <v>2040</v>
      </c>
      <c r="C28" s="15">
        <v>2713</v>
      </c>
    </row>
    <row r="29" spans="1:3" ht="28.5" customHeight="1">
      <c r="A29" s="11" t="s">
        <v>158</v>
      </c>
      <c r="B29" s="15">
        <v>-3155</v>
      </c>
      <c r="C29" s="11">
        <v>-637</v>
      </c>
    </row>
    <row r="30" spans="1:3" ht="28.5" customHeight="1">
      <c r="A30" s="11" t="s">
        <v>159</v>
      </c>
      <c r="B30" s="11">
        <v>0</v>
      </c>
      <c r="C30" s="11">
        <v>-13</v>
      </c>
    </row>
    <row r="31" spans="1:3" ht="14.4">
      <c r="A31" s="11" t="s">
        <v>160</v>
      </c>
      <c r="B31" s="11">
        <v>0</v>
      </c>
      <c r="C31" s="15">
        <v>-1815</v>
      </c>
    </row>
    <row r="32" spans="1:3" ht="28.5" customHeight="1">
      <c r="A32" s="11" t="s">
        <v>161</v>
      </c>
      <c r="B32" s="11">
        <v>0</v>
      </c>
      <c r="C32" s="15">
        <v>1815</v>
      </c>
    </row>
    <row r="33" spans="1:3" ht="14.4">
      <c r="A33" s="11" t="s">
        <v>162</v>
      </c>
      <c r="B33" s="11">
        <v>10</v>
      </c>
      <c r="C33" s="11">
        <v>15</v>
      </c>
    </row>
    <row r="34" spans="1:3" ht="28.5" customHeight="1">
      <c r="A34" s="11" t="s">
        <v>163</v>
      </c>
      <c r="B34" s="11">
        <v>-2</v>
      </c>
      <c r="C34" s="11">
        <v>-153</v>
      </c>
    </row>
    <row r="35" spans="1:3" ht="14.4">
      <c r="A35" s="11" t="s">
        <v>164</v>
      </c>
      <c r="B35" s="15">
        <v>-73048</v>
      </c>
      <c r="C35" s="15">
        <v>-72878</v>
      </c>
    </row>
    <row r="36" spans="1:3" ht="14.4">
      <c r="A36" s="11" t="s">
        <v>165</v>
      </c>
      <c r="B36" s="15">
        <v>-6978</v>
      </c>
      <c r="C36" s="15">
        <v>-14035</v>
      </c>
    </row>
    <row r="37" spans="1:3" ht="28.5" customHeight="1">
      <c r="A37" s="11" t="s">
        <v>166</v>
      </c>
      <c r="B37" s="15">
        <v>-3240</v>
      </c>
      <c r="C37" s="15">
        <v>-3438</v>
      </c>
    </row>
    <row r="38" spans="1:3" ht="28.5" customHeight="1">
      <c r="A38" s="11" t="s">
        <v>167</v>
      </c>
      <c r="B38" s="11">
        <v>0</v>
      </c>
      <c r="C38" s="15">
        <v>-2859</v>
      </c>
    </row>
    <row r="39" spans="1:3" ht="14.4">
      <c r="A39" s="11" t="s">
        <v>168</v>
      </c>
      <c r="B39" s="11">
        <v>-60</v>
      </c>
      <c r="C39" s="11">
        <v>-38</v>
      </c>
    </row>
    <row r="40" spans="1:3" ht="28.5" customHeight="1">
      <c r="A40" s="11" t="s">
        <v>169</v>
      </c>
      <c r="B40" s="11">
        <v>109</v>
      </c>
      <c r="C40" s="15">
        <v>1378</v>
      </c>
    </row>
    <row r="41" spans="1:3" ht="14.4">
      <c r="A41" s="11" t="s">
        <v>170</v>
      </c>
      <c r="B41" s="11">
        <v>0</v>
      </c>
      <c r="C41" s="11">
        <v>487</v>
      </c>
    </row>
    <row r="42" spans="1:3" ht="14.4">
      <c r="A42" s="11" t="s">
        <v>171</v>
      </c>
      <c r="B42" s="15">
        <v>73987</v>
      </c>
      <c r="C42" s="15">
        <v>72682</v>
      </c>
    </row>
    <row r="43" spans="1:3" ht="14.4">
      <c r="A43" s="11" t="s">
        <v>172</v>
      </c>
      <c r="B43" s="15">
        <v>6688</v>
      </c>
      <c r="C43" s="15">
        <v>9767</v>
      </c>
    </row>
    <row r="44" spans="1:3" ht="14.4">
      <c r="A44" s="11" t="s">
        <v>173</v>
      </c>
      <c r="B44" s="15">
        <v>7735</v>
      </c>
      <c r="C44" s="15">
        <v>5810</v>
      </c>
    </row>
    <row r="45" spans="1:3" ht="28.5" customHeight="1">
      <c r="A45" s="11" t="s">
        <v>174</v>
      </c>
      <c r="B45" s="15">
        <v>2591</v>
      </c>
      <c r="C45" s="15">
        <v>4083</v>
      </c>
    </row>
    <row r="46" spans="1:3" ht="14.4">
      <c r="A46" s="11" t="s">
        <v>175</v>
      </c>
      <c r="B46" s="11">
        <v>455</v>
      </c>
      <c r="C46" s="15">
        <v>5259</v>
      </c>
    </row>
    <row r="47" spans="1:3" ht="14.4">
      <c r="A47" s="11" t="s">
        <v>176</v>
      </c>
      <c r="B47" s="11">
        <v>11</v>
      </c>
      <c r="C47" s="11">
        <v>4</v>
      </c>
    </row>
    <row r="48" spans="1:3" ht="28.5" customHeight="1">
      <c r="A48" s="11" t="s">
        <v>177</v>
      </c>
      <c r="B48" s="15">
        <v>-1946</v>
      </c>
      <c r="C48" s="15">
        <v>1946</v>
      </c>
    </row>
    <row r="49" spans="1:3" ht="17.25" customHeight="1">
      <c r="A49" s="1" t="s">
        <v>0</v>
      </c>
      <c r="B49" s="1" t="s">
        <v>178</v>
      </c>
      <c r="C49" s="1" t="s">
        <v>179</v>
      </c>
    </row>
    <row r="50" spans="1:3" ht="14.4">
      <c r="A50" s="1" t="s">
        <v>180</v>
      </c>
      <c r="B50" s="2"/>
      <c r="C50" s="2"/>
    </row>
    <row r="51" spans="1:3" ht="14.4">
      <c r="A51" s="11" t="s">
        <v>181</v>
      </c>
      <c r="B51" s="15">
        <v>-2355</v>
      </c>
      <c r="C51" s="15">
        <v>-2824</v>
      </c>
    </row>
    <row r="52" spans="1:3" ht="14.4">
      <c r="A52" s="11" t="s">
        <v>182</v>
      </c>
      <c r="B52" s="15">
        <v>-20287</v>
      </c>
      <c r="C52" s="15">
        <v>-18653</v>
      </c>
    </row>
    <row r="53" spans="1:3" ht="14.4">
      <c r="A53" s="11" t="s">
        <v>183</v>
      </c>
      <c r="B53" s="11">
        <v>-985</v>
      </c>
      <c r="C53" s="11">
        <v>0</v>
      </c>
    </row>
    <row r="54" spans="1:3" ht="14.4">
      <c r="A54" s="11" t="s">
        <v>184</v>
      </c>
      <c r="B54" s="11">
        <v>-2</v>
      </c>
      <c r="C54" s="11">
        <v>-3</v>
      </c>
    </row>
    <row r="55" spans="1:3" ht="14.4">
      <c r="A55" s="11" t="s">
        <v>185</v>
      </c>
      <c r="B55" s="11">
        <v>6</v>
      </c>
      <c r="C55" s="11">
        <v>2</v>
      </c>
    </row>
    <row r="56" spans="1:3" ht="14.4">
      <c r="A56" s="11" t="s">
        <v>186</v>
      </c>
      <c r="B56" s="11">
        <v>0</v>
      </c>
      <c r="C56" s="15">
        <v>-18058</v>
      </c>
    </row>
    <row r="57" spans="1:3" ht="14.4">
      <c r="A57" s="11" t="s">
        <v>187</v>
      </c>
      <c r="B57" s="11">
        <v>-538</v>
      </c>
      <c r="C57" s="11">
        <v>-250</v>
      </c>
    </row>
    <row r="58" spans="1:3" ht="14.4">
      <c r="A58" s="11" t="s">
        <v>188</v>
      </c>
      <c r="B58" s="15">
        <v>-24161</v>
      </c>
      <c r="C58" s="15">
        <v>-39786</v>
      </c>
    </row>
    <row r="60" spans="1:3" ht="14.4">
      <c r="A60" s="1" t="s">
        <v>0</v>
      </c>
      <c r="B60" s="1" t="s">
        <v>14</v>
      </c>
      <c r="C60" s="1" t="s">
        <v>15</v>
      </c>
    </row>
    <row r="61" spans="1:3" ht="14.4">
      <c r="A61" s="11" t="s">
        <v>189</v>
      </c>
      <c r="B61" s="15">
        <v>9587</v>
      </c>
      <c r="C61" s="15">
        <v>-3854</v>
      </c>
    </row>
    <row r="62" spans="1:3" ht="28.5" customHeight="1">
      <c r="A62" s="11" t="s">
        <v>190</v>
      </c>
      <c r="B62" s="11">
        <v>82</v>
      </c>
      <c r="C62" s="15">
        <v>1600</v>
      </c>
    </row>
    <row r="63" spans="1:3" ht="14.4">
      <c r="A63" s="11" t="s">
        <v>191</v>
      </c>
      <c r="B63" s="15">
        <v>14786</v>
      </c>
      <c r="C63" s="15">
        <v>24455</v>
      </c>
    </row>
    <row r="64" spans="1:3" ht="14.4">
      <c r="A64" s="11" t="s">
        <v>192</v>
      </c>
      <c r="B64" s="15">
        <v>24455</v>
      </c>
      <c r="C64" s="15">
        <v>22201</v>
      </c>
    </row>
    <row r="65" spans="1:3" ht="14.4">
      <c r="A65" s="11" t="s">
        <v>193</v>
      </c>
      <c r="B65" s="11">
        <v>424</v>
      </c>
      <c r="C65" s="11">
        <v>422</v>
      </c>
    </row>
    <row r="68" spans="1:3" ht="14.4">
      <c r="A68" s="1" t="s">
        <v>194</v>
      </c>
      <c r="B68" s="1" t="s">
        <v>14</v>
      </c>
      <c r="C68" s="1" t="s">
        <v>15</v>
      </c>
    </row>
    <row r="69" spans="1:3" ht="14.4">
      <c r="A69" s="11" t="s">
        <v>195</v>
      </c>
      <c r="B69" s="27">
        <f>B22</f>
        <v>35694</v>
      </c>
      <c r="C69" s="15">
        <f>C22</f>
        <v>33986</v>
      </c>
    </row>
    <row r="70" spans="1:3" ht="14.4">
      <c r="A70" s="11" t="s">
        <v>196</v>
      </c>
      <c r="B70" s="15">
        <f>B48</f>
        <v>-1946</v>
      </c>
      <c r="C70" s="15">
        <f>C48</f>
        <v>1946</v>
      </c>
    </row>
    <row r="71" spans="1:3" ht="14.4">
      <c r="A71" s="11" t="s">
        <v>197</v>
      </c>
      <c r="B71" s="15">
        <f>B58</f>
        <v>-24161</v>
      </c>
      <c r="C71" s="15">
        <f>C58</f>
        <v>-39786</v>
      </c>
    </row>
    <row r="72" spans="1:3" ht="14.4">
      <c r="A72" s="11" t="s">
        <v>198</v>
      </c>
      <c r="B72" s="31"/>
      <c r="C72" s="31">
        <f>(C69-B69)/B69</f>
        <v>-4.7851179469938929E-2</v>
      </c>
    </row>
    <row r="73" spans="1:3" ht="14.4">
      <c r="A73" s="11" t="s">
        <v>199</v>
      </c>
      <c r="B73" s="32">
        <f>B69/162990</f>
        <v>0.21899503036996135</v>
      </c>
      <c r="C73" s="32">
        <f>C69/178650</f>
        <v>0.19023789532605653</v>
      </c>
    </row>
    <row r="74" spans="1:3" ht="14.4">
      <c r="A74" s="11" t="s">
        <v>200</v>
      </c>
      <c r="B74" s="33">
        <f>B69-2237</f>
        <v>33457</v>
      </c>
      <c r="C74" s="33">
        <f>C69-2727</f>
        <v>31259</v>
      </c>
    </row>
    <row r="75" spans="1:3" ht="14.4">
      <c r="A75" s="11" t="s">
        <v>201</v>
      </c>
      <c r="B75" s="32">
        <f>B74/162990</f>
        <v>0.20527026197926254</v>
      </c>
      <c r="C75" s="32">
        <f>C74/178650</f>
        <v>0.1749734116988525</v>
      </c>
    </row>
    <row r="77" spans="1:3" ht="14.4">
      <c r="A77" s="1" t="s">
        <v>0</v>
      </c>
      <c r="B77" s="1" t="s">
        <v>202</v>
      </c>
    </row>
    <row r="78" spans="1:3" ht="14.4">
      <c r="A78" s="11" t="s">
        <v>203</v>
      </c>
      <c r="B78" s="15">
        <v>-1769</v>
      </c>
    </row>
    <row r="79" spans="1:3" ht="14.4">
      <c r="A79" s="11" t="s">
        <v>204</v>
      </c>
      <c r="B79" s="15">
        <v>-5177</v>
      </c>
    </row>
    <row r="80" spans="1:3" ht="14.4">
      <c r="A80" s="11" t="s">
        <v>205</v>
      </c>
      <c r="B80" s="12">
        <f>B79-B78</f>
        <v>-3408</v>
      </c>
    </row>
    <row r="81" spans="1:3" ht="14.4">
      <c r="A81" s="11" t="s">
        <v>206</v>
      </c>
    </row>
    <row r="82" spans="1:3" ht="86.25" customHeight="1">
      <c r="A82" s="11" t="s">
        <v>207</v>
      </c>
    </row>
    <row r="84" spans="1:3" ht="14.4">
      <c r="A84" s="1" t="s">
        <v>0</v>
      </c>
      <c r="B84" s="1" t="s">
        <v>14</v>
      </c>
      <c r="C84" s="1" t="s">
        <v>15</v>
      </c>
    </row>
    <row r="85" spans="1:3" ht="14.4">
      <c r="A85" s="11" t="s">
        <v>208</v>
      </c>
      <c r="B85" s="11" t="s">
        <v>209</v>
      </c>
      <c r="C85" s="11" t="s">
        <v>210</v>
      </c>
    </row>
    <row r="86" spans="1:3" ht="14.4">
      <c r="A86" s="11" t="s">
        <v>211</v>
      </c>
      <c r="B86" s="11"/>
      <c r="C86" s="11" t="s">
        <v>212</v>
      </c>
    </row>
    <row r="88" spans="1:3" ht="14.4">
      <c r="A88" t="s">
        <v>0</v>
      </c>
      <c r="B88" t="s">
        <v>14</v>
      </c>
      <c r="C88" t="s">
        <v>15</v>
      </c>
    </row>
    <row r="89" spans="1:3" ht="14.4">
      <c r="A89" t="s">
        <v>149</v>
      </c>
      <c r="B89">
        <v>2322</v>
      </c>
      <c r="C89">
        <v>5209</v>
      </c>
    </row>
    <row r="90" spans="1:3" ht="14.4">
      <c r="A90" t="s">
        <v>205</v>
      </c>
      <c r="C90">
        <f>C89-B89</f>
        <v>2887</v>
      </c>
    </row>
    <row r="92" spans="1:3" ht="14.4">
      <c r="A92" t="s">
        <v>0</v>
      </c>
      <c r="B92" t="s">
        <v>14</v>
      </c>
      <c r="C92" t="s">
        <v>15</v>
      </c>
    </row>
    <row r="93" spans="1:3" ht="14.4">
      <c r="A93" t="s">
        <v>147</v>
      </c>
      <c r="B93">
        <v>-1024</v>
      </c>
      <c r="C93">
        <v>-2645</v>
      </c>
    </row>
    <row r="94" spans="1:3" ht="14.4">
      <c r="A94" t="s">
        <v>205</v>
      </c>
      <c r="C94">
        <f>C93-B93</f>
        <v>-1621</v>
      </c>
    </row>
    <row r="96" spans="1:3" ht="14.4">
      <c r="A96" t="s">
        <v>0</v>
      </c>
      <c r="B96" t="s">
        <v>14</v>
      </c>
      <c r="C96" t="s">
        <v>15</v>
      </c>
    </row>
    <row r="97" spans="1:3" ht="14.4">
      <c r="A97" t="s">
        <v>148</v>
      </c>
      <c r="B97">
        <v>176</v>
      </c>
      <c r="C97">
        <v>-26</v>
      </c>
    </row>
    <row r="98" spans="1:3" ht="14.4">
      <c r="A98" t="s">
        <v>205</v>
      </c>
      <c r="C98">
        <f>C97-B97</f>
        <v>-202</v>
      </c>
    </row>
    <row r="100" spans="1:3" ht="14.4">
      <c r="A100" s="1" t="s">
        <v>0</v>
      </c>
      <c r="B100" s="1" t="s">
        <v>14</v>
      </c>
      <c r="C100" s="1" t="s">
        <v>15</v>
      </c>
    </row>
    <row r="101" spans="1:3" ht="14.4">
      <c r="A101" s="11" t="s">
        <v>213</v>
      </c>
      <c r="B101" s="11">
        <v>35694</v>
      </c>
      <c r="C101" s="11">
        <v>33986</v>
      </c>
    </row>
    <row r="102" spans="1:3" ht="14.4">
      <c r="A102" s="11" t="s">
        <v>214</v>
      </c>
      <c r="B102" s="11">
        <v>-1946</v>
      </c>
      <c r="C102" s="11">
        <v>1946</v>
      </c>
    </row>
    <row r="103" spans="1:3" ht="14.4">
      <c r="A103" s="11" t="s">
        <v>188</v>
      </c>
      <c r="B103" s="11">
        <v>-24161</v>
      </c>
      <c r="C103" s="11">
        <v>-39786</v>
      </c>
    </row>
    <row r="104" spans="1:3" ht="14.4">
      <c r="A104" s="11" t="s">
        <v>215</v>
      </c>
      <c r="B104" s="34">
        <f>SUM(B101:B103)</f>
        <v>9587</v>
      </c>
      <c r="C104" s="34">
        <f>SUM(C101:C103)</f>
        <v>-3854</v>
      </c>
    </row>
    <row r="105" spans="1:3" ht="14.4">
      <c r="A105" s="11" t="s">
        <v>216</v>
      </c>
      <c r="B105" s="11">
        <v>82</v>
      </c>
      <c r="C105" s="11">
        <v>1600</v>
      </c>
    </row>
    <row r="106" spans="1:3" ht="14.4">
      <c r="A106" s="11" t="s">
        <v>217</v>
      </c>
      <c r="B106" s="34">
        <f>B104+B105</f>
        <v>9669</v>
      </c>
      <c r="C106" s="34">
        <f>C104+C105</f>
        <v>-2254</v>
      </c>
    </row>
    <row r="107" spans="1:3" ht="14.4">
      <c r="A107" s="11" t="s">
        <v>218</v>
      </c>
      <c r="B107" s="11">
        <v>14786</v>
      </c>
      <c r="C107" s="11">
        <v>24455</v>
      </c>
    </row>
    <row r="108" spans="1:3" ht="14.4">
      <c r="A108" s="11" t="s">
        <v>219</v>
      </c>
      <c r="B108" s="34">
        <f>B106+B107</f>
        <v>24455</v>
      </c>
      <c r="C108" s="34">
        <f>C106+C107</f>
        <v>22201</v>
      </c>
    </row>
    <row r="109" spans="1:3" ht="14.4">
      <c r="A109" s="11" t="s">
        <v>220</v>
      </c>
      <c r="B109" s="11">
        <v>24455</v>
      </c>
      <c r="C109" s="11">
        <v>22201</v>
      </c>
    </row>
    <row r="110" spans="1:3" ht="14.4">
      <c r="A110" s="11" t="s">
        <v>221</v>
      </c>
      <c r="B110" s="34">
        <f>B108-B109</f>
        <v>0</v>
      </c>
      <c r="C110" s="34">
        <f>C108-C109</f>
        <v>0</v>
      </c>
    </row>
  </sheetData>
  <mergeCells count="1">
    <mergeCell ref="A1:C1"/>
  </mergeCells>
  <pageMargins left="0.7" right="0.7" top="0.75" bottom="0.75" header="0.511811023622047" footer="0.511811023622047"/>
  <pageSetup paperSize="9" orientation="portrait" horizontalDpi="300" verticalDpi="30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D40"/>
  <sheetViews>
    <sheetView topLeftCell="A36" zoomScaleNormal="100" workbookViewId="0">
      <selection activeCell="C23" sqref="C23"/>
    </sheetView>
  </sheetViews>
  <sheetFormatPr defaultColWidth="8.5546875" defaultRowHeight="14.25" customHeight="1"/>
  <cols>
    <col min="1" max="1" width="24.21875" customWidth="1"/>
    <col min="2" max="2" width="12.21875" customWidth="1"/>
    <col min="3" max="3" width="14.6640625" customWidth="1"/>
    <col min="4" max="4" width="12.33203125" customWidth="1"/>
  </cols>
  <sheetData>
    <row r="1" spans="1:2" ht="14.4">
      <c r="A1" s="25" t="s">
        <v>29</v>
      </c>
      <c r="B1" s="25" t="s">
        <v>202</v>
      </c>
    </row>
    <row r="2" spans="1:2" ht="14.4">
      <c r="A2" t="s">
        <v>46</v>
      </c>
      <c r="B2" s="35">
        <f>IFERROR(('01_Historical_Data'!B2-'01_Historical_Data'!C2)/'01_Historical_Data'!C2,"Check data")</f>
        <v>9.6079514080618447E-2</v>
      </c>
    </row>
    <row r="3" spans="1:2" ht="14.4">
      <c r="A3" t="s">
        <v>54</v>
      </c>
      <c r="B3" s="36">
        <f>('01_Historical_Data'!B3-'01_Historical_Data'!C3)/'01_Historical_Data'!C3</f>
        <v>0.10638743455497382</v>
      </c>
    </row>
    <row r="4" spans="1:2" ht="14.4">
      <c r="A4" t="s">
        <v>222</v>
      </c>
      <c r="B4" s="36">
        <f>('01_Historical_Data'!B4-'01_Historical_Data'!C4)/'01_Historical_Data'!C4</f>
        <v>9.8509869594206947E-2</v>
      </c>
    </row>
    <row r="5" spans="1:2" ht="14.4">
      <c r="A5" t="s">
        <v>223</v>
      </c>
      <c r="B5" s="36">
        <f>('01_Historical_Data'!B5-'01_Historical_Data'!C5)/'01_Historical_Data'!C5</f>
        <v>6.3470538183365247E-2</v>
      </c>
    </row>
    <row r="6" spans="1:2" ht="14.4">
      <c r="A6" t="s">
        <v>224</v>
      </c>
      <c r="B6" s="36">
        <f>('01_Historical_Data'!B6-'01_Historical_Data'!C6)/'01_Historical_Data'!C6</f>
        <v>0.10183177570093457</v>
      </c>
    </row>
    <row r="8" spans="1:2" ht="14.4">
      <c r="A8" s="25" t="s">
        <v>225</v>
      </c>
    </row>
    <row r="9" spans="1:2" ht="13.5" customHeight="1">
      <c r="A9" t="s">
        <v>226</v>
      </c>
      <c r="B9" s="35">
        <f>'01_Historical_Data'!B5/'01_Historical_Data'!B2</f>
        <v>0.22387349566190876</v>
      </c>
    </row>
    <row r="10" spans="1:2" ht="14.4">
      <c r="A10" t="s">
        <v>227</v>
      </c>
      <c r="B10" s="35">
        <f>'01_Historical_Data'!C5/'01_Historical_Data'!C2</f>
        <v>0.23073808209092583</v>
      </c>
    </row>
    <row r="11" spans="1:2" ht="14.4">
      <c r="A11" t="s">
        <v>228</v>
      </c>
      <c r="B11" s="35">
        <f>'01_Historical_Data'!B6/'01_Historical_Data'!B2</f>
        <v>0.16498180800447804</v>
      </c>
    </row>
    <row r="12" spans="1:2" ht="14.4">
      <c r="A12" t="s">
        <v>229</v>
      </c>
      <c r="B12" s="35">
        <f>'01_Historical_Data'!C6/'01_Historical_Data'!C2</f>
        <v>0.16412049819007302</v>
      </c>
    </row>
    <row r="14" spans="1:2" ht="14.4">
      <c r="A14" t="s">
        <v>25</v>
      </c>
      <c r="B14" s="36">
        <f>B2</f>
        <v>9.6079514080618447E-2</v>
      </c>
    </row>
    <row r="15" spans="1:2" ht="14.4">
      <c r="A15" t="s">
        <v>26</v>
      </c>
      <c r="B15" s="36">
        <f>B3</f>
        <v>0.10638743455497382</v>
      </c>
    </row>
    <row r="16" spans="1:2" ht="14.4">
      <c r="A16" t="s">
        <v>230</v>
      </c>
      <c r="B16" s="36">
        <f>B15-B14</f>
        <v>1.0307920474355373E-2</v>
      </c>
    </row>
    <row r="18" spans="1:4" ht="14.4">
      <c r="A18" t="s">
        <v>231</v>
      </c>
      <c r="B18" s="37">
        <f>B9-B10</f>
        <v>-6.8645864290170777E-3</v>
      </c>
    </row>
    <row r="20" spans="1:4" ht="14.4">
      <c r="A20" t="s">
        <v>232</v>
      </c>
      <c r="B20" s="36">
        <f>B11-B12</f>
        <v>8.6130981440502019E-4</v>
      </c>
    </row>
    <row r="22" spans="1:4" ht="28.5" customHeight="1">
      <c r="A22" s="1" t="s">
        <v>29</v>
      </c>
      <c r="B22" s="1" t="s">
        <v>2</v>
      </c>
      <c r="C22" s="1" t="s">
        <v>1</v>
      </c>
      <c r="D22" s="1" t="s">
        <v>110</v>
      </c>
    </row>
    <row r="23" spans="1:4" ht="14.4">
      <c r="A23" s="11" t="s">
        <v>233</v>
      </c>
      <c r="B23" s="15">
        <v>162990</v>
      </c>
      <c r="C23" s="15">
        <v>178650</v>
      </c>
      <c r="D23" s="15">
        <v>192942</v>
      </c>
    </row>
    <row r="24" spans="1:4" ht="14.4">
      <c r="A24" s="11" t="s">
        <v>234</v>
      </c>
      <c r="B24" s="15">
        <v>37608</v>
      </c>
      <c r="C24" s="15">
        <v>39995</v>
      </c>
      <c r="D24" s="28">
        <v>45002.28</v>
      </c>
    </row>
    <row r="25" spans="1:4" ht="14.4">
      <c r="A25" s="11" t="s">
        <v>235</v>
      </c>
      <c r="B25" s="15">
        <v>26750</v>
      </c>
      <c r="C25" s="15">
        <v>29474</v>
      </c>
      <c r="D25" s="28">
        <v>33166.68</v>
      </c>
    </row>
    <row r="26" spans="1:4" ht="14.4">
      <c r="A26" s="11" t="s">
        <v>85</v>
      </c>
      <c r="B26" s="16">
        <f>B24/B23</f>
        <v>0.23073808209092583</v>
      </c>
      <c r="C26" s="16">
        <f>C24/C23</f>
        <v>0.22387349566190876</v>
      </c>
      <c r="D26" s="16">
        <f>D24/D23</f>
        <v>0.2332425288428647</v>
      </c>
    </row>
    <row r="27" spans="1:4" ht="14.4">
      <c r="A27" s="11" t="s">
        <v>86</v>
      </c>
      <c r="B27" s="16">
        <f>B25/B23</f>
        <v>0.16412049819007302</v>
      </c>
      <c r="C27" s="16">
        <f>C25/C23</f>
        <v>0.16498180800447804</v>
      </c>
      <c r="D27" s="16">
        <f>D25/D23</f>
        <v>0.17189974189134558</v>
      </c>
    </row>
    <row r="29" spans="1:4" ht="14.4">
      <c r="A29" s="1" t="s">
        <v>34</v>
      </c>
      <c r="B29" s="1" t="s">
        <v>14</v>
      </c>
      <c r="C29" s="1" t="s">
        <v>15</v>
      </c>
    </row>
    <row r="30" spans="1:4" ht="14.4">
      <c r="A30" s="11" t="s">
        <v>71</v>
      </c>
      <c r="B30" s="15">
        <v>37608</v>
      </c>
      <c r="C30" s="15">
        <v>39995</v>
      </c>
    </row>
    <row r="31" spans="1:4" ht="14.4">
      <c r="A31" s="11" t="s">
        <v>236</v>
      </c>
      <c r="B31" s="11">
        <v>416</v>
      </c>
      <c r="C31" s="11">
        <v>416</v>
      </c>
    </row>
    <row r="32" spans="1:4" ht="14.4">
      <c r="A32" s="11" t="s">
        <v>237</v>
      </c>
      <c r="B32" s="15">
        <v>4812</v>
      </c>
      <c r="C32" s="15">
        <v>4902</v>
      </c>
    </row>
    <row r="33" spans="1:3" ht="14.4">
      <c r="A33" s="11" t="s">
        <v>77</v>
      </c>
      <c r="B33" s="15">
        <v>3600</v>
      </c>
      <c r="C33" s="15">
        <v>4322</v>
      </c>
    </row>
    <row r="34" spans="1:3" ht="14.4">
      <c r="A34" s="11" t="s">
        <v>238</v>
      </c>
      <c r="B34" s="15">
        <f>SUM(B30:B32)-B33</f>
        <v>39236</v>
      </c>
      <c r="C34" s="15">
        <f>SUM(C30:C32)-C33</f>
        <v>40991</v>
      </c>
    </row>
    <row r="35" spans="1:3" ht="14.4">
      <c r="A35" s="11" t="s">
        <v>35</v>
      </c>
      <c r="B35" s="15">
        <v>162990</v>
      </c>
      <c r="C35" s="15">
        <v>178650</v>
      </c>
    </row>
    <row r="36" spans="1:3" ht="14.4">
      <c r="A36" s="11" t="s">
        <v>239</v>
      </c>
      <c r="B36" s="31">
        <f>B34/B35</f>
        <v>0.24072642493404503</v>
      </c>
      <c r="C36" s="31">
        <f>C34/C35</f>
        <v>0.2294486425972572</v>
      </c>
    </row>
    <row r="40" spans="1:3" ht="14.4">
      <c r="A40" s="23"/>
    </row>
  </sheetData>
  <pageMargins left="0.7" right="0.7" top="0.75" bottom="0.75" header="0.511811023622047" footer="0.511811023622047"/>
  <pageSetup paperSize="9" orientation="portrait" horizontalDpi="300" verticalDpi="30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L101"/>
  <sheetViews>
    <sheetView topLeftCell="A19" zoomScaleNormal="100" workbookViewId="0">
      <selection activeCell="E48" sqref="E48"/>
    </sheetView>
  </sheetViews>
  <sheetFormatPr defaultColWidth="8.5546875" defaultRowHeight="14.25" customHeight="1"/>
  <cols>
    <col min="1" max="1" width="26" customWidth="1"/>
    <col min="2" max="3" width="13.6640625" customWidth="1"/>
    <col min="5" max="5" width="17.44140625" customWidth="1"/>
  </cols>
  <sheetData>
    <row r="1" spans="1:12" ht="14.4">
      <c r="A1" s="46" t="s">
        <v>240</v>
      </c>
      <c r="B1" s="46"/>
      <c r="C1" s="46"/>
    </row>
    <row r="2" spans="1:12" ht="14.4">
      <c r="A2" s="1" t="s">
        <v>0</v>
      </c>
      <c r="B2" s="1" t="s">
        <v>14</v>
      </c>
      <c r="C2" s="1" t="s">
        <v>145</v>
      </c>
      <c r="E2" s="25" t="s">
        <v>90</v>
      </c>
    </row>
    <row r="3" spans="1:12" ht="14.4">
      <c r="A3" s="11" t="s">
        <v>241</v>
      </c>
      <c r="B3" s="15">
        <v>11778</v>
      </c>
      <c r="C3" s="15">
        <v>12651</v>
      </c>
      <c r="E3">
        <f>C3*(1+'03_Budget_Forecast'!$F$12)</f>
        <v>13283.550000000001</v>
      </c>
    </row>
    <row r="4" spans="1:12" ht="14.4">
      <c r="A4" s="11" t="s">
        <v>242</v>
      </c>
      <c r="B4" s="15">
        <v>6311</v>
      </c>
      <c r="C4" s="15">
        <v>6177</v>
      </c>
      <c r="E4">
        <f>C4*(1+'03_Budget_Forecast'!$F$12)</f>
        <v>6485.85</v>
      </c>
    </row>
    <row r="5" spans="1:12" ht="14.4">
      <c r="A5" s="11" t="s">
        <v>243</v>
      </c>
      <c r="B5" s="11">
        <v>814</v>
      </c>
      <c r="C5" s="11">
        <v>526</v>
      </c>
      <c r="E5">
        <f>C5*(1+'03_Budget_Forecast'!$F$12)</f>
        <v>552.30000000000007</v>
      </c>
      <c r="K5" s="1"/>
      <c r="L5" s="1"/>
    </row>
    <row r="6" spans="1:12" ht="14.4">
      <c r="A6" s="11" t="s">
        <v>244</v>
      </c>
      <c r="B6" s="15">
        <v>10106</v>
      </c>
      <c r="C6" s="15">
        <v>12117</v>
      </c>
      <c r="E6" s="12">
        <f>C6</f>
        <v>12117</v>
      </c>
      <c r="K6" s="11"/>
      <c r="L6" s="34"/>
    </row>
    <row r="7" spans="1:12" ht="14.4">
      <c r="A7" s="11" t="s">
        <v>245</v>
      </c>
      <c r="B7" s="15">
        <v>2766</v>
      </c>
      <c r="C7" s="15">
        <v>2825</v>
      </c>
      <c r="E7">
        <f>C7*(1+'03_Budget_Forecast'!$F$7)</f>
        <v>2966.25</v>
      </c>
      <c r="K7" s="11"/>
      <c r="L7" s="34"/>
    </row>
    <row r="8" spans="1:12" ht="14.4">
      <c r="A8" s="11" t="s">
        <v>246</v>
      </c>
      <c r="B8" s="15">
        <v>11059</v>
      </c>
      <c r="C8" s="15">
        <v>8930</v>
      </c>
      <c r="E8" s="12">
        <f t="shared" ref="E8:E13" si="0">C8</f>
        <v>8930</v>
      </c>
      <c r="K8" s="11"/>
      <c r="L8" s="34"/>
    </row>
    <row r="9" spans="1:12" ht="14.4">
      <c r="A9" s="11" t="s">
        <v>247</v>
      </c>
      <c r="B9" s="11">
        <v>16</v>
      </c>
      <c r="C9" s="11">
        <v>6</v>
      </c>
      <c r="E9">
        <f t="shared" si="0"/>
        <v>6</v>
      </c>
      <c r="K9" s="11"/>
      <c r="L9" s="34"/>
    </row>
    <row r="10" spans="1:12" ht="28.5" customHeight="1">
      <c r="A10" s="11" t="s">
        <v>248</v>
      </c>
      <c r="B10" s="15">
        <v>3511</v>
      </c>
      <c r="C10" s="15">
        <v>2776</v>
      </c>
      <c r="E10" s="12">
        <f t="shared" si="0"/>
        <v>2776</v>
      </c>
      <c r="K10" s="11"/>
      <c r="L10" s="34"/>
    </row>
    <row r="11" spans="1:12" ht="14.4">
      <c r="A11" s="11" t="s">
        <v>249</v>
      </c>
      <c r="B11" s="15">
        <v>1108</v>
      </c>
      <c r="C11" s="15">
        <v>2264</v>
      </c>
      <c r="E11" s="12">
        <f t="shared" si="0"/>
        <v>2264</v>
      </c>
      <c r="K11" s="11"/>
      <c r="L11" s="34"/>
    </row>
    <row r="12" spans="1:12" ht="14.4">
      <c r="A12" s="11" t="s">
        <v>250</v>
      </c>
      <c r="B12" s="15">
        <v>1622</v>
      </c>
      <c r="C12" s="11">
        <v>666</v>
      </c>
      <c r="E12">
        <f t="shared" si="0"/>
        <v>666</v>
      </c>
      <c r="K12" s="11"/>
      <c r="L12" s="34"/>
    </row>
    <row r="13" spans="1:12" ht="14.4">
      <c r="A13" s="11" t="s">
        <v>251</v>
      </c>
      <c r="B13" s="15">
        <v>2713</v>
      </c>
      <c r="C13" s="15">
        <v>3540</v>
      </c>
      <c r="E13" s="12">
        <f t="shared" si="0"/>
        <v>3540</v>
      </c>
      <c r="K13" s="11"/>
      <c r="L13" s="34"/>
    </row>
    <row r="14" spans="1:12" ht="14.4">
      <c r="A14" s="30" t="s">
        <v>252</v>
      </c>
      <c r="B14" s="38">
        <v>51804</v>
      </c>
      <c r="C14" s="38">
        <v>52478</v>
      </c>
      <c r="E14">
        <f>SUM(E3:E13)</f>
        <v>53586.95</v>
      </c>
      <c r="K14" s="11"/>
      <c r="L14" s="34"/>
    </row>
    <row r="15" spans="1:12" ht="14.4">
      <c r="A15" s="11" t="s">
        <v>253</v>
      </c>
      <c r="B15" s="15">
        <v>12482</v>
      </c>
      <c r="C15" s="15">
        <v>12950</v>
      </c>
      <c r="E15" s="12">
        <f>C15</f>
        <v>12950</v>
      </c>
      <c r="K15" s="11"/>
      <c r="L15" s="34"/>
    </row>
    <row r="16" spans="1:12" ht="14.4">
      <c r="A16" s="11" t="s">
        <v>254</v>
      </c>
      <c r="B16" s="15">
        <v>31158</v>
      </c>
      <c r="C16" s="15">
        <v>35234</v>
      </c>
      <c r="E16">
        <f>C16*(1+'03_Budget_Forecast'!$F$13)</f>
        <v>38052.720000000001</v>
      </c>
    </row>
    <row r="17" spans="1:5" ht="14.4">
      <c r="A17" s="11" t="s">
        <v>255</v>
      </c>
      <c r="B17" s="15">
        <v>24455</v>
      </c>
      <c r="C17" s="15">
        <v>22201</v>
      </c>
      <c r="E17" s="27">
        <f>'09_Integrated_Model'!C12</f>
        <v>51066.730359999987</v>
      </c>
    </row>
    <row r="18" spans="1:5" ht="14.4">
      <c r="A18" s="11" t="s">
        <v>256</v>
      </c>
      <c r="B18" s="11">
        <v>249</v>
      </c>
      <c r="C18" s="11">
        <v>234</v>
      </c>
      <c r="E18">
        <f>C18</f>
        <v>234</v>
      </c>
    </row>
    <row r="19" spans="1:5" ht="14.4">
      <c r="A19" s="11" t="s">
        <v>257</v>
      </c>
      <c r="B19" s="15">
        <v>13840</v>
      </c>
      <c r="C19" s="15">
        <v>15890</v>
      </c>
      <c r="E19" s="12">
        <f>C19</f>
        <v>15890</v>
      </c>
    </row>
    <row r="20" spans="1:5" ht="14.4">
      <c r="A20" s="11" t="s">
        <v>258</v>
      </c>
      <c r="B20" s="15">
        <v>2975</v>
      </c>
      <c r="C20" s="15">
        <v>1835</v>
      </c>
      <c r="E20" s="12">
        <f>C20</f>
        <v>1835</v>
      </c>
    </row>
    <row r="21" spans="1:5" ht="14.4">
      <c r="A21" s="11" t="s">
        <v>259</v>
      </c>
      <c r="B21" s="15">
        <v>11940</v>
      </c>
      <c r="C21" s="15">
        <v>15145</v>
      </c>
      <c r="E21">
        <f>C21*(1+'03_Budget_Forecast'!$F$13)</f>
        <v>16356.6</v>
      </c>
    </row>
    <row r="22" spans="1:5" ht="14.4">
      <c r="A22" s="30" t="s">
        <v>260</v>
      </c>
      <c r="B22" s="38">
        <v>97099</v>
      </c>
      <c r="C22" s="38">
        <v>103489</v>
      </c>
      <c r="E22" s="12">
        <f>SUM(E15:E21)</f>
        <v>136385.05035999999</v>
      </c>
    </row>
    <row r="23" spans="1:5" ht="14.4">
      <c r="A23" s="30" t="s">
        <v>261</v>
      </c>
      <c r="B23" s="38">
        <v>148903</v>
      </c>
      <c r="C23" s="38">
        <v>155967</v>
      </c>
      <c r="E23" s="12">
        <f>E14+E22</f>
        <v>189972.00036000001</v>
      </c>
    </row>
    <row r="24" spans="1:5" ht="16.350000000000001" customHeight="1">
      <c r="A24" s="47" t="s">
        <v>262</v>
      </c>
      <c r="B24" s="47"/>
      <c r="C24" s="47"/>
    </row>
    <row r="25" spans="1:5" ht="14.4">
      <c r="A25" s="1" t="s">
        <v>0</v>
      </c>
      <c r="B25" s="1" t="s">
        <v>263</v>
      </c>
      <c r="C25" s="1" t="s">
        <v>145</v>
      </c>
    </row>
    <row r="26" spans="1:5" ht="14.4">
      <c r="A26" s="30" t="s">
        <v>264</v>
      </c>
      <c r="B26" s="11"/>
      <c r="C26" s="11"/>
    </row>
    <row r="27" spans="1:5" ht="14.4">
      <c r="A27" s="11" t="s">
        <v>265</v>
      </c>
      <c r="B27" s="15">
        <v>2073</v>
      </c>
      <c r="C27" s="15">
        <v>2024</v>
      </c>
      <c r="E27" s="12">
        <f>C27</f>
        <v>2024</v>
      </c>
    </row>
    <row r="28" spans="1:5" ht="14.4">
      <c r="A28" s="11" t="s">
        <v>266</v>
      </c>
      <c r="B28" s="15">
        <v>93745</v>
      </c>
      <c r="C28" s="15">
        <v>90828</v>
      </c>
      <c r="E28" s="12">
        <f>C28+'09_Integrated_Model'!C3</f>
        <v>123994.68036</v>
      </c>
    </row>
    <row r="29" spans="1:5" ht="28.5" customHeight="1">
      <c r="A29" s="11" t="s">
        <v>267</v>
      </c>
      <c r="B29" s="15">
        <v>95818</v>
      </c>
      <c r="C29" s="15">
        <v>92852</v>
      </c>
      <c r="E29" s="12">
        <f>SUM(E27:E28)</f>
        <v>126018.68036</v>
      </c>
    </row>
    <row r="30" spans="1:5" ht="14.4">
      <c r="A30" s="11" t="s">
        <v>268</v>
      </c>
      <c r="B30" s="11">
        <v>385</v>
      </c>
      <c r="C30" s="11">
        <v>445</v>
      </c>
      <c r="E30">
        <f>C30</f>
        <v>445</v>
      </c>
    </row>
    <row r="31" spans="1:5" ht="14.4">
      <c r="A31" s="11" t="s">
        <v>269</v>
      </c>
      <c r="B31" s="15">
        <v>96203</v>
      </c>
      <c r="C31" s="15">
        <v>93297</v>
      </c>
      <c r="E31" s="12">
        <f>SUM(E29:E30)</f>
        <v>126463.68036</v>
      </c>
    </row>
    <row r="32" spans="1:5" ht="14.4">
      <c r="A32" s="30" t="s">
        <v>270</v>
      </c>
      <c r="B32" s="11"/>
      <c r="C32" s="11"/>
    </row>
    <row r="33" spans="1:5" ht="14.4">
      <c r="A33" s="11" t="s">
        <v>271</v>
      </c>
      <c r="B33" s="15">
        <v>5772</v>
      </c>
      <c r="C33" s="15">
        <v>6016</v>
      </c>
      <c r="E33">
        <f>C33*(1+'03_Budget_Forecast'!$F$12)</f>
        <v>6316.8</v>
      </c>
    </row>
    <row r="34" spans="1:5" ht="14.4">
      <c r="A34" s="11" t="s">
        <v>272</v>
      </c>
      <c r="B34" s="15">
        <v>2141</v>
      </c>
      <c r="C34" s="15">
        <v>2092</v>
      </c>
      <c r="E34" s="12">
        <f>C34</f>
        <v>2092</v>
      </c>
    </row>
    <row r="35" spans="1:5" ht="14.4">
      <c r="A35" s="11" t="s">
        <v>273</v>
      </c>
      <c r="B35" s="15">
        <v>1722</v>
      </c>
      <c r="C35" s="15">
        <v>1679</v>
      </c>
      <c r="E35" s="12">
        <f>C35</f>
        <v>1679</v>
      </c>
    </row>
    <row r="36" spans="1:5" ht="14.4">
      <c r="A36" s="11" t="s">
        <v>274</v>
      </c>
      <c r="B36" s="11">
        <v>215</v>
      </c>
      <c r="C36" s="11">
        <v>561</v>
      </c>
      <c r="E36">
        <f>C36</f>
        <v>561</v>
      </c>
    </row>
    <row r="37" spans="1:5" ht="14.4">
      <c r="A37" s="30" t="s">
        <v>275</v>
      </c>
      <c r="B37" s="38">
        <v>9850</v>
      </c>
      <c r="C37" s="38">
        <v>10348</v>
      </c>
      <c r="E37">
        <f>SUM(E33:E36)</f>
        <v>10648.8</v>
      </c>
    </row>
    <row r="38" spans="1:5" ht="14.4">
      <c r="A38" s="30" t="s">
        <v>276</v>
      </c>
      <c r="B38" s="11"/>
      <c r="C38" s="11"/>
    </row>
    <row r="39" spans="1:5" ht="14.4">
      <c r="A39" s="11" t="s">
        <v>271</v>
      </c>
      <c r="B39" s="15">
        <v>2455</v>
      </c>
      <c r="C39" s="15">
        <v>3160</v>
      </c>
      <c r="E39">
        <f>C39*(1+'03_Budget_Forecast'!$F$12)</f>
        <v>3318</v>
      </c>
    </row>
    <row r="40" spans="1:5" ht="14.4">
      <c r="A40" s="11" t="s">
        <v>148</v>
      </c>
      <c r="B40" s="15">
        <v>4164</v>
      </c>
      <c r="C40" s="15">
        <v>4744</v>
      </c>
      <c r="E40">
        <f>C40*(1+'03_Budget_Forecast'!$F$13)</f>
        <v>5123.5200000000004</v>
      </c>
    </row>
    <row r="41" spans="1:5" ht="14.4">
      <c r="A41" s="11" t="s">
        <v>272</v>
      </c>
      <c r="B41" s="15">
        <v>18138</v>
      </c>
      <c r="C41" s="15">
        <v>21483</v>
      </c>
      <c r="E41" s="12">
        <f>C41</f>
        <v>21483</v>
      </c>
    </row>
    <row r="42" spans="1:5" ht="14.4">
      <c r="A42" s="11" t="s">
        <v>277</v>
      </c>
      <c r="B42" s="15">
        <v>11765</v>
      </c>
      <c r="C42" s="15">
        <v>15779</v>
      </c>
      <c r="E42" s="12">
        <f>C42</f>
        <v>15779</v>
      </c>
    </row>
    <row r="43" spans="1:5" ht="14.4">
      <c r="A43" s="11" t="s">
        <v>278</v>
      </c>
      <c r="B43" s="15">
        <v>1475</v>
      </c>
      <c r="C43" s="15">
        <v>1512</v>
      </c>
      <c r="E43" s="12">
        <f>C43</f>
        <v>1512</v>
      </c>
    </row>
    <row r="44" spans="1:5" ht="14.4">
      <c r="A44" s="11" t="s">
        <v>279</v>
      </c>
      <c r="B44" s="15">
        <v>4853</v>
      </c>
      <c r="C44" s="15">
        <v>5644</v>
      </c>
      <c r="E44" s="12">
        <f>C44</f>
        <v>5644</v>
      </c>
    </row>
    <row r="45" spans="1:5" ht="14.4">
      <c r="A45" s="30" t="s">
        <v>280</v>
      </c>
      <c r="B45" s="38">
        <v>42850</v>
      </c>
      <c r="C45" s="38">
        <v>52322</v>
      </c>
      <c r="E45">
        <f>SUM(E39:E44)</f>
        <v>52859.520000000004</v>
      </c>
    </row>
    <row r="46" spans="1:5" ht="14.4">
      <c r="A46" s="30" t="s">
        <v>281</v>
      </c>
      <c r="B46" s="38">
        <v>52700</v>
      </c>
      <c r="C46" s="38">
        <v>62670</v>
      </c>
      <c r="E46">
        <f>E37+E45</f>
        <v>63508.320000000007</v>
      </c>
    </row>
    <row r="47" spans="1:5" ht="14.4">
      <c r="A47" s="30" t="s">
        <v>282</v>
      </c>
      <c r="B47" s="38">
        <v>148903</v>
      </c>
      <c r="C47" s="38">
        <v>155967</v>
      </c>
      <c r="E47" s="12">
        <f>E31+E46</f>
        <v>189972.00036000001</v>
      </c>
    </row>
    <row r="48" spans="1:5" ht="14.4">
      <c r="E48" s="12">
        <f>E23-E47</f>
        <v>0</v>
      </c>
    </row>
    <row r="49" spans="1:4" ht="14.4">
      <c r="A49" s="25" t="s">
        <v>105</v>
      </c>
    </row>
    <row r="50" spans="1:4" ht="14.4">
      <c r="A50" t="s">
        <v>283</v>
      </c>
    </row>
    <row r="51" spans="1:4" ht="14.4">
      <c r="A51" s="27"/>
      <c r="B51">
        <f>B23-B47</f>
        <v>0</v>
      </c>
    </row>
    <row r="52" spans="1:4" ht="14.4">
      <c r="A52" t="s">
        <v>284</v>
      </c>
    </row>
    <row r="53" spans="1:4" ht="14.4">
      <c r="A53" s="27"/>
      <c r="C53">
        <f>C23-C47</f>
        <v>0</v>
      </c>
    </row>
    <row r="54" spans="1:4" ht="14.4">
      <c r="A54" s="25" t="s">
        <v>285</v>
      </c>
      <c r="B54" s="25"/>
      <c r="C54" s="25"/>
      <c r="D54" s="25"/>
    </row>
    <row r="55" spans="1:4" ht="14.4">
      <c r="A55" s="25" t="s">
        <v>29</v>
      </c>
      <c r="B55" s="25" t="s">
        <v>14</v>
      </c>
      <c r="C55" s="25" t="s">
        <v>15</v>
      </c>
      <c r="D55" s="25" t="s">
        <v>17</v>
      </c>
    </row>
    <row r="56" spans="1:4" ht="14.4">
      <c r="A56" t="s">
        <v>101</v>
      </c>
      <c r="B56" s="12">
        <f>B23</f>
        <v>148903</v>
      </c>
      <c r="C56" s="12">
        <f>C23</f>
        <v>155967</v>
      </c>
      <c r="D56" s="13">
        <f>(C56-B56)/B56</f>
        <v>4.7440279913769368E-2</v>
      </c>
    </row>
    <row r="57" spans="1:4" ht="14.4">
      <c r="A57" t="s">
        <v>102</v>
      </c>
      <c r="B57" s="12">
        <f>B31</f>
        <v>96203</v>
      </c>
      <c r="C57" s="12">
        <f>C31</f>
        <v>93297</v>
      </c>
      <c r="D57" s="13">
        <f>(C57-B57)/B57</f>
        <v>-3.0206958202966643E-2</v>
      </c>
    </row>
    <row r="58" spans="1:4" ht="14.4">
      <c r="A58" t="s">
        <v>103</v>
      </c>
      <c r="B58" s="12">
        <f>B46</f>
        <v>52700</v>
      </c>
      <c r="C58" s="12">
        <f>C46</f>
        <v>62670</v>
      </c>
      <c r="D58" s="13">
        <f>(C58-B58)/B58</f>
        <v>0.18918406072106261</v>
      </c>
    </row>
    <row r="61" spans="1:4" ht="14.4">
      <c r="A61" s="25" t="s">
        <v>286</v>
      </c>
    </row>
    <row r="62" spans="1:4" ht="14.4">
      <c r="A62" s="25" t="s">
        <v>29</v>
      </c>
      <c r="B62" s="25" t="s">
        <v>14</v>
      </c>
      <c r="C62" s="25" t="s">
        <v>15</v>
      </c>
      <c r="D62" s="25" t="s">
        <v>17</v>
      </c>
    </row>
    <row r="63" spans="1:4" ht="14.4">
      <c r="A63" t="s">
        <v>287</v>
      </c>
      <c r="B63" s="12">
        <f>B16</f>
        <v>31158</v>
      </c>
      <c r="C63" s="12">
        <f>C16</f>
        <v>35234</v>
      </c>
      <c r="D63" s="13">
        <f>(C63-B63)/B63</f>
        <v>0.13081712561781886</v>
      </c>
    </row>
    <row r="64" spans="1:4" ht="14.4">
      <c r="A64" t="s">
        <v>288</v>
      </c>
      <c r="B64" s="12">
        <f>B17</f>
        <v>24455</v>
      </c>
      <c r="C64" s="12">
        <f>C17</f>
        <v>22201</v>
      </c>
      <c r="D64" s="13">
        <f>(C64-B64)/B64</f>
        <v>-9.2169290533633208E-2</v>
      </c>
    </row>
    <row r="65" spans="1:6" ht="14.4">
      <c r="A65" t="s">
        <v>289</v>
      </c>
      <c r="B65" s="12">
        <f>B21</f>
        <v>11940</v>
      </c>
      <c r="C65" s="12">
        <f>C21</f>
        <v>15145</v>
      </c>
      <c r="D65" s="13">
        <f>(C65-B65)/B65</f>
        <v>0.2684254606365159</v>
      </c>
    </row>
    <row r="66" spans="1:6" ht="14.4">
      <c r="A66" t="s">
        <v>290</v>
      </c>
      <c r="B66" s="12">
        <f>B22</f>
        <v>97099</v>
      </c>
      <c r="C66" s="12">
        <f>C22</f>
        <v>103489</v>
      </c>
      <c r="D66" s="13">
        <f>(C66-B66)/B66</f>
        <v>6.5809122648019039E-2</v>
      </c>
    </row>
    <row r="69" spans="1:6" ht="14.4">
      <c r="A69" t="s">
        <v>291</v>
      </c>
    </row>
    <row r="70" spans="1:6" ht="14.4">
      <c r="A70" t="s">
        <v>29</v>
      </c>
      <c r="B70" t="s">
        <v>14</v>
      </c>
      <c r="C70" t="s">
        <v>15</v>
      </c>
      <c r="E70" s="24"/>
      <c r="F70" s="24"/>
    </row>
    <row r="71" spans="1:6" ht="14.4">
      <c r="A71" t="s">
        <v>292</v>
      </c>
      <c r="B71" s="24">
        <f>B22/B45</f>
        <v>2.2660210035005832</v>
      </c>
      <c r="C71" s="24">
        <f>C22/C45</f>
        <v>1.977925155766217</v>
      </c>
      <c r="D71" s="24">
        <f>B71-C71</f>
        <v>0.28809584773436625</v>
      </c>
    </row>
    <row r="74" spans="1:6" ht="14.4">
      <c r="A74" t="s">
        <v>293</v>
      </c>
    </row>
    <row r="75" spans="1:6" ht="14.4">
      <c r="A75" t="s">
        <v>29</v>
      </c>
      <c r="B75" t="s">
        <v>14</v>
      </c>
      <c r="C75" t="s">
        <v>15</v>
      </c>
    </row>
    <row r="76" spans="1:6" ht="14.4">
      <c r="A76" t="s">
        <v>294</v>
      </c>
      <c r="B76" s="24">
        <f>(B22-B21)/B45</f>
        <v>1.9873745624270711</v>
      </c>
      <c r="C76" s="24">
        <f>(C22-C21)/C45</f>
        <v>1.6884675662245328</v>
      </c>
      <c r="D76" s="24">
        <f>B76-C76</f>
        <v>0.29890699620253836</v>
      </c>
    </row>
    <row r="79" spans="1:6" ht="14.4">
      <c r="A79" t="s">
        <v>295</v>
      </c>
    </row>
    <row r="80" spans="1:6" ht="14.4">
      <c r="A80" t="s">
        <v>29</v>
      </c>
      <c r="B80" t="s">
        <v>14</v>
      </c>
      <c r="C80" t="s">
        <v>15</v>
      </c>
    </row>
    <row r="81" spans="1:10" ht="14.4">
      <c r="A81" t="s">
        <v>290</v>
      </c>
      <c r="B81" s="12">
        <f>B22</f>
        <v>97099</v>
      </c>
      <c r="C81" s="12">
        <f>C22</f>
        <v>103489</v>
      </c>
      <c r="I81" s="1"/>
      <c r="J81" s="1"/>
    </row>
    <row r="82" spans="1:10" ht="14.4">
      <c r="A82" t="s">
        <v>296</v>
      </c>
      <c r="B82" s="12">
        <f>B45</f>
        <v>42850</v>
      </c>
      <c r="C82" s="12">
        <f>C45</f>
        <v>52322</v>
      </c>
      <c r="I82" s="11"/>
      <c r="J82" s="34"/>
    </row>
    <row r="83" spans="1:10" ht="14.4">
      <c r="A83" t="s">
        <v>297</v>
      </c>
      <c r="B83" s="12">
        <f>B81-B82</f>
        <v>54249</v>
      </c>
      <c r="C83" s="12">
        <f>C81-C82</f>
        <v>51167</v>
      </c>
      <c r="I83" s="11"/>
      <c r="J83" s="34"/>
    </row>
    <row r="84" spans="1:10" ht="14.4">
      <c r="A84" t="s">
        <v>298</v>
      </c>
      <c r="C84" s="12">
        <f>C83-B83</f>
        <v>-3082</v>
      </c>
      <c r="I84" s="11"/>
      <c r="J84" s="34"/>
    </row>
    <row r="85" spans="1:10" ht="14.4">
      <c r="I85" s="11"/>
      <c r="J85" s="34"/>
    </row>
    <row r="86" spans="1:10" ht="14.4">
      <c r="A86" s="1" t="s">
        <v>29</v>
      </c>
      <c r="B86" s="1" t="s">
        <v>14</v>
      </c>
      <c r="C86" s="1" t="s">
        <v>15</v>
      </c>
      <c r="I86" s="11"/>
      <c r="J86" s="34"/>
    </row>
    <row r="87" spans="1:10" ht="14.4">
      <c r="A87" s="11" t="s">
        <v>287</v>
      </c>
      <c r="B87" s="15">
        <v>31158</v>
      </c>
      <c r="C87" s="15">
        <v>35234</v>
      </c>
      <c r="I87" s="11"/>
      <c r="J87" s="34"/>
    </row>
    <row r="88" spans="1:10" ht="14.4">
      <c r="A88" s="11" t="s">
        <v>22</v>
      </c>
      <c r="B88" s="15">
        <v>162990</v>
      </c>
      <c r="C88" s="15">
        <v>178650</v>
      </c>
      <c r="I88" s="11"/>
      <c r="J88" s="34"/>
    </row>
    <row r="89" spans="1:10" ht="14.4">
      <c r="A89" s="11" t="s">
        <v>299</v>
      </c>
      <c r="B89" s="16">
        <f>B87/B88</f>
        <v>0.19116510215350635</v>
      </c>
      <c r="C89" s="16">
        <f>C87/C88</f>
        <v>0.19722362160649315</v>
      </c>
      <c r="I89" s="11"/>
      <c r="J89" s="34"/>
    </row>
    <row r="90" spans="1:10" ht="14.4">
      <c r="A90" s="11" t="s">
        <v>300</v>
      </c>
      <c r="B90" s="24">
        <f>B87/B88*365</f>
        <v>69.775262286029815</v>
      </c>
      <c r="C90" s="24">
        <f>C87/C88*365</f>
        <v>71.986621886370003</v>
      </c>
      <c r="I90" s="11"/>
      <c r="J90" s="34"/>
    </row>
    <row r="91" spans="1:10" ht="14.4">
      <c r="I91" s="11"/>
      <c r="J91" s="34"/>
    </row>
    <row r="93" spans="1:10" ht="14.4">
      <c r="A93" t="s">
        <v>301</v>
      </c>
    </row>
    <row r="94" spans="1:10" ht="14.4">
      <c r="A94" t="s">
        <v>29</v>
      </c>
      <c r="B94" t="s">
        <v>302</v>
      </c>
      <c r="C94" t="s">
        <v>303</v>
      </c>
    </row>
    <row r="95" spans="1:10" ht="14.4">
      <c r="A95" t="s">
        <v>287</v>
      </c>
      <c r="B95">
        <v>31158</v>
      </c>
      <c r="C95">
        <v>35234</v>
      </c>
    </row>
    <row r="96" spans="1:10" ht="14.4">
      <c r="A96" t="s">
        <v>289</v>
      </c>
      <c r="B96">
        <v>11940</v>
      </c>
      <c r="C96">
        <v>15145</v>
      </c>
    </row>
    <row r="97" spans="1:3" ht="14.4">
      <c r="A97" t="s">
        <v>304</v>
      </c>
      <c r="B97">
        <v>4164</v>
      </c>
      <c r="C97">
        <v>4744</v>
      </c>
    </row>
    <row r="98" spans="1:3" ht="14.4">
      <c r="A98" t="s">
        <v>305</v>
      </c>
      <c r="B98">
        <v>11765</v>
      </c>
      <c r="C98">
        <v>15779</v>
      </c>
    </row>
    <row r="99" spans="1:3" ht="14.4">
      <c r="A99" t="s">
        <v>278</v>
      </c>
      <c r="B99">
        <v>1475</v>
      </c>
      <c r="C99">
        <v>1512</v>
      </c>
    </row>
    <row r="100" spans="1:3" ht="14.4">
      <c r="A100" t="s">
        <v>306</v>
      </c>
      <c r="B100">
        <f>B95+B96-B97-B98-B99</f>
        <v>25694</v>
      </c>
      <c r="C100">
        <f>C95+C96-C97-C98-C99</f>
        <v>28344</v>
      </c>
    </row>
    <row r="101" spans="1:3" ht="14.4">
      <c r="A101" t="s">
        <v>307</v>
      </c>
      <c r="C101">
        <f>C100-B100</f>
        <v>2650</v>
      </c>
    </row>
  </sheetData>
  <mergeCells count="2">
    <mergeCell ref="A1:C1"/>
    <mergeCell ref="A24:C24"/>
  </mergeCells>
  <pageMargins left="0.7" right="0.7" top="0.75" bottom="0.75" header="0.511811023622047" footer="0.511811023622047"/>
  <pageSetup paperSize="9" orientation="portrait" horizontalDpi="300" verticalDpi="30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0A8E9C-1C1D-48E4-9FFE-DA8772714668}">
  <dimension ref="A1:J10"/>
  <sheetViews>
    <sheetView workbookViewId="0">
      <selection activeCell="M16" sqref="M16"/>
    </sheetView>
  </sheetViews>
  <sheetFormatPr defaultRowHeight="14.4"/>
  <cols>
    <col min="1" max="1" width="17.6640625" bestFit="1" customWidth="1"/>
    <col min="2" max="4" width="13.33203125" bestFit="1" customWidth="1"/>
    <col min="6" max="6" width="15.33203125" customWidth="1"/>
    <col min="8" max="8" width="14.6640625" customWidth="1"/>
    <col min="10" max="10" width="11.33203125" customWidth="1"/>
  </cols>
  <sheetData>
    <row r="1" spans="1:10" ht="21">
      <c r="A1" s="50" t="s">
        <v>318</v>
      </c>
      <c r="B1" s="51"/>
      <c r="C1" s="51"/>
      <c r="D1" s="51"/>
      <c r="E1" s="51"/>
      <c r="F1" s="51"/>
      <c r="G1" s="51"/>
      <c r="H1" s="51"/>
      <c r="I1" s="51"/>
      <c r="J1" s="51"/>
    </row>
    <row r="2" spans="1:10" ht="21">
      <c r="A2" s="50" t="s">
        <v>319</v>
      </c>
      <c r="B2" s="50"/>
      <c r="C2" s="50"/>
      <c r="D2" s="50"/>
      <c r="E2" s="50"/>
      <c r="F2" s="50"/>
      <c r="G2" s="50"/>
      <c r="H2" s="50"/>
      <c r="I2" s="50"/>
      <c r="J2" s="50"/>
    </row>
    <row r="3" spans="1:10" ht="23.4">
      <c r="A3" s="52">
        <f>C6</f>
        <v>178650</v>
      </c>
      <c r="B3" s="52"/>
      <c r="C3" s="52">
        <f>C7</f>
        <v>29474</v>
      </c>
      <c r="D3" s="52"/>
      <c r="E3" s="54">
        <f>C10</f>
        <v>0.16498180800447804</v>
      </c>
      <c r="F3" s="54"/>
      <c r="G3" s="52">
        <f>D6</f>
        <v>192942</v>
      </c>
      <c r="H3" s="52"/>
      <c r="I3" s="48">
        <f>D7</f>
        <v>33166.68</v>
      </c>
      <c r="J3" s="48"/>
    </row>
    <row r="4" spans="1:10">
      <c r="A4" s="53" t="s">
        <v>313</v>
      </c>
      <c r="B4" s="53"/>
      <c r="C4" s="49" t="s">
        <v>314</v>
      </c>
      <c r="D4" s="49"/>
      <c r="E4" s="49" t="s">
        <v>315</v>
      </c>
      <c r="F4" s="49"/>
      <c r="G4" s="49" t="s">
        <v>316</v>
      </c>
      <c r="H4" s="49"/>
      <c r="I4" s="49" t="s">
        <v>317</v>
      </c>
      <c r="J4" s="49"/>
    </row>
    <row r="5" spans="1:10">
      <c r="A5" s="39" t="s">
        <v>29</v>
      </c>
      <c r="B5" s="39" t="s">
        <v>308</v>
      </c>
      <c r="C5" s="39" t="s">
        <v>309</v>
      </c>
      <c r="D5" s="39" t="s">
        <v>310</v>
      </c>
    </row>
    <row r="6" spans="1:10">
      <c r="A6" s="39" t="s">
        <v>22</v>
      </c>
      <c r="B6" s="40">
        <v>162990</v>
      </c>
      <c r="C6" s="40">
        <v>178650</v>
      </c>
      <c r="D6" s="40">
        <v>192942</v>
      </c>
    </row>
    <row r="7" spans="1:10">
      <c r="A7" s="39" t="s">
        <v>311</v>
      </c>
      <c r="B7" s="40">
        <v>26750</v>
      </c>
      <c r="C7" s="40">
        <v>29474</v>
      </c>
      <c r="D7" s="40">
        <v>33166.68</v>
      </c>
    </row>
    <row r="8" spans="1:10">
      <c r="A8" s="39" t="s">
        <v>195</v>
      </c>
      <c r="B8" s="40">
        <v>35694</v>
      </c>
      <c r="C8" s="40">
        <v>33986</v>
      </c>
      <c r="D8" s="40"/>
    </row>
    <row r="9" spans="1:10">
      <c r="A9" s="39" t="s">
        <v>25</v>
      </c>
      <c r="B9" s="13">
        <f>0</f>
        <v>0</v>
      </c>
      <c r="C9" s="13">
        <f>(C6-B6)/B6</f>
        <v>9.6079514080618447E-2</v>
      </c>
      <c r="D9" s="13">
        <f>(D6-C6)/C6</f>
        <v>0.08</v>
      </c>
    </row>
    <row r="10" spans="1:10">
      <c r="A10" s="39" t="s">
        <v>312</v>
      </c>
      <c r="B10" s="13">
        <f>B7/B6</f>
        <v>0.16412049819007302</v>
      </c>
      <c r="C10" s="13">
        <f t="shared" ref="C10:D10" si="0">C7/C6</f>
        <v>0.16498180800447804</v>
      </c>
      <c r="D10" s="13">
        <f t="shared" si="0"/>
        <v>0.17189974189134558</v>
      </c>
    </row>
  </sheetData>
  <mergeCells count="12">
    <mergeCell ref="I3:J3"/>
    <mergeCell ref="I4:J4"/>
    <mergeCell ref="A1:J1"/>
    <mergeCell ref="A2:J2"/>
    <mergeCell ref="A3:B3"/>
    <mergeCell ref="A4:B4"/>
    <mergeCell ref="C4:D4"/>
    <mergeCell ref="C3:D3"/>
    <mergeCell ref="E4:F4"/>
    <mergeCell ref="E3:F3"/>
    <mergeCell ref="G4:H4"/>
    <mergeCell ref="G3:H3"/>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284BB-B875-4F8F-A40F-244A4EDA404A}">
  <dimension ref="A2:G48"/>
  <sheetViews>
    <sheetView tabSelected="1" topLeftCell="A25" zoomScaleNormal="100" workbookViewId="0">
      <selection activeCell="K43" sqref="K43"/>
    </sheetView>
  </sheetViews>
  <sheetFormatPr defaultRowHeight="14.4"/>
  <cols>
    <col min="1" max="1" width="26.6640625" bestFit="1" customWidth="1"/>
    <col min="2" max="2" width="10.109375" customWidth="1"/>
    <col min="3" max="5" width="10.5546875" bestFit="1" customWidth="1"/>
    <col min="6" max="6" width="12.21875" bestFit="1" customWidth="1"/>
  </cols>
  <sheetData>
    <row r="2" spans="1:6">
      <c r="A2" t="s">
        <v>320</v>
      </c>
    </row>
    <row r="3" spans="1:6">
      <c r="A3" t="s">
        <v>321</v>
      </c>
      <c r="B3" t="s">
        <v>202</v>
      </c>
    </row>
    <row r="4" spans="1:6">
      <c r="A4" t="s">
        <v>322</v>
      </c>
      <c r="B4" s="14">
        <v>7.0000000000000007E-2</v>
      </c>
    </row>
    <row r="5" spans="1:6">
      <c r="A5" t="s">
        <v>323</v>
      </c>
      <c r="B5">
        <v>1.2</v>
      </c>
    </row>
    <row r="6" spans="1:6">
      <c r="A6" t="s">
        <v>324</v>
      </c>
      <c r="B6" s="14">
        <v>0.06</v>
      </c>
    </row>
    <row r="7" spans="1:6">
      <c r="A7" t="s">
        <v>325</v>
      </c>
      <c r="B7" s="14">
        <f>B4+B5*B6</f>
        <v>0.14200000000000002</v>
      </c>
    </row>
    <row r="8" spans="1:6">
      <c r="A8" t="s">
        <v>326</v>
      </c>
      <c r="B8" s="14">
        <v>0.05</v>
      </c>
    </row>
    <row r="9" spans="1:6">
      <c r="A9" t="s">
        <v>327</v>
      </c>
      <c r="B9" s="14">
        <v>0.26300000000000001</v>
      </c>
    </row>
    <row r="10" spans="1:6">
      <c r="A10" t="s">
        <v>328</v>
      </c>
      <c r="B10" s="14">
        <v>0.95</v>
      </c>
    </row>
    <row r="11" spans="1:6">
      <c r="A11" t="s">
        <v>329</v>
      </c>
      <c r="B11" s="14">
        <f>1-B10</f>
        <v>5.0000000000000044E-2</v>
      </c>
    </row>
    <row r="12" spans="1:6">
      <c r="A12" t="s">
        <v>330</v>
      </c>
      <c r="B12" s="14">
        <f>B7*B10+B13*B11</f>
        <v>0.13674250000000002</v>
      </c>
    </row>
    <row r="13" spans="1:6">
      <c r="A13" t="s">
        <v>353</v>
      </c>
      <c r="B13" s="35">
        <f>B8*(1-B9)</f>
        <v>3.6850000000000001E-2</v>
      </c>
    </row>
    <row r="14" spans="1:6">
      <c r="A14" t="s">
        <v>29</v>
      </c>
      <c r="B14" t="s">
        <v>331</v>
      </c>
      <c r="C14" t="s">
        <v>332</v>
      </c>
      <c r="D14" t="s">
        <v>333</v>
      </c>
      <c r="E14" t="s">
        <v>334</v>
      </c>
      <c r="F14" t="s">
        <v>335</v>
      </c>
    </row>
    <row r="15" spans="1:6">
      <c r="A15" t="s">
        <v>22</v>
      </c>
      <c r="B15" s="24">
        <v>192942</v>
      </c>
      <c r="C15" s="24">
        <f t="shared" ref="C15:F15" si="0">B15*1.08</f>
        <v>208377.36000000002</v>
      </c>
      <c r="D15" s="24">
        <f t="shared" si="0"/>
        <v>225047.54880000002</v>
      </c>
      <c r="E15" s="24">
        <f t="shared" si="0"/>
        <v>243051.35270400005</v>
      </c>
      <c r="F15" s="24">
        <f t="shared" si="0"/>
        <v>262495.46092032007</v>
      </c>
    </row>
    <row r="16" spans="1:6">
      <c r="A16" t="s">
        <v>336</v>
      </c>
      <c r="B16" s="24">
        <f>B15*20.3%</f>
        <v>39167.226000000002</v>
      </c>
      <c r="C16" s="24">
        <f t="shared" ref="C16:F16" si="1">C15*20.3%</f>
        <v>42300.604080000005</v>
      </c>
      <c r="D16" s="24">
        <f t="shared" si="1"/>
        <v>45684.652406400004</v>
      </c>
      <c r="E16" s="24">
        <f t="shared" si="1"/>
        <v>49339.42459891201</v>
      </c>
      <c r="F16" s="24">
        <f t="shared" si="1"/>
        <v>53286.578566824974</v>
      </c>
    </row>
    <row r="17" spans="1:7">
      <c r="A17" t="s">
        <v>337</v>
      </c>
      <c r="B17" s="24">
        <f>B16*$B$9</f>
        <v>10300.980438000001</v>
      </c>
      <c r="C17" s="24">
        <f t="shared" ref="C17:F17" si="2">C16*$B$9</f>
        <v>11125.058873040001</v>
      </c>
      <c r="D17" s="24">
        <f t="shared" si="2"/>
        <v>12015.063582883202</v>
      </c>
      <c r="E17" s="24">
        <f t="shared" si="2"/>
        <v>12976.26866951386</v>
      </c>
      <c r="F17" s="24">
        <f t="shared" si="2"/>
        <v>14014.370163074969</v>
      </c>
      <c r="G17" s="24"/>
    </row>
    <row r="18" spans="1:7">
      <c r="A18" t="s">
        <v>338</v>
      </c>
      <c r="B18" s="24">
        <f>B16-B17</f>
        <v>28866.245562000004</v>
      </c>
      <c r="C18" s="24">
        <f t="shared" ref="C18:F18" si="3">C16-C17</f>
        <v>31175.545206960003</v>
      </c>
      <c r="D18" s="24">
        <f t="shared" si="3"/>
        <v>33669.588823516802</v>
      </c>
      <c r="E18" s="24">
        <f t="shared" si="3"/>
        <v>36363.155929398148</v>
      </c>
      <c r="F18" s="24">
        <f t="shared" si="3"/>
        <v>39272.208403750003</v>
      </c>
    </row>
    <row r="19" spans="1:7">
      <c r="A19" t="s">
        <v>339</v>
      </c>
      <c r="B19" s="41">
        <v>5147.1000000000004</v>
      </c>
      <c r="C19" s="42">
        <f>B19*1.05</f>
        <v>5404.4550000000008</v>
      </c>
      <c r="D19" s="42">
        <f>C19*1.05</f>
        <v>5674.6777500000007</v>
      </c>
      <c r="E19" s="42">
        <f>D19*1.05</f>
        <v>5958.4116375000012</v>
      </c>
      <c r="F19" s="42">
        <f>E19*1.05</f>
        <v>6256.3322193750018</v>
      </c>
    </row>
    <row r="20" spans="1:7">
      <c r="A20" t="s">
        <v>96</v>
      </c>
      <c r="B20" s="41">
        <v>2863.35</v>
      </c>
      <c r="C20" s="41">
        <f>B20*1.05</f>
        <v>3006.5174999999999</v>
      </c>
      <c r="D20" s="41">
        <f t="shared" ref="D20:F20" si="4">C20*1.05</f>
        <v>3156.8433749999999</v>
      </c>
      <c r="E20" s="41">
        <f t="shared" si="4"/>
        <v>3314.6855437499999</v>
      </c>
      <c r="F20" s="41">
        <f t="shared" si="4"/>
        <v>3480.4198209374999</v>
      </c>
    </row>
    <row r="21" spans="1:7">
      <c r="A21" t="s">
        <v>340</v>
      </c>
      <c r="B21" s="41">
        <v>3650.8</v>
      </c>
      <c r="C21" s="42">
        <f>B21*1.08</f>
        <v>3942.8640000000005</v>
      </c>
      <c r="D21" s="42">
        <f t="shared" ref="D21:F21" si="5">C21*1.08</f>
        <v>4258.2931200000012</v>
      </c>
      <c r="E21" s="42">
        <f t="shared" si="5"/>
        <v>4598.9565696000018</v>
      </c>
      <c r="F21" s="42">
        <f t="shared" si="5"/>
        <v>4966.8730951680027</v>
      </c>
    </row>
    <row r="22" spans="1:7">
      <c r="A22" t="s">
        <v>341</v>
      </c>
      <c r="B22" s="24">
        <f>B18+B19-B20-B21</f>
        <v>27499.195562000004</v>
      </c>
      <c r="C22" s="24">
        <f t="shared" ref="C22:F22" si="6">C18+C19-C20-C21</f>
        <v>29630.618706959998</v>
      </c>
      <c r="D22" s="24">
        <f t="shared" si="6"/>
        <v>31929.130078516806</v>
      </c>
      <c r="E22" s="24">
        <f t="shared" si="6"/>
        <v>34407.925453548152</v>
      </c>
      <c r="F22" s="24">
        <f t="shared" si="6"/>
        <v>37081.247707019495</v>
      </c>
    </row>
    <row r="23" spans="1:7">
      <c r="A23" t="s">
        <v>342</v>
      </c>
      <c r="B23" s="41">
        <v>1</v>
      </c>
      <c r="C23">
        <v>2</v>
      </c>
      <c r="D23">
        <v>3</v>
      </c>
      <c r="E23">
        <v>4</v>
      </c>
      <c r="F23">
        <v>5</v>
      </c>
    </row>
    <row r="24" spans="1:7">
      <c r="A24" t="s">
        <v>343</v>
      </c>
      <c r="B24" s="42">
        <f>1/(1+$B$12)^B23</f>
        <v>0.87970670578429155</v>
      </c>
      <c r="C24" s="42">
        <f t="shared" ref="C24:F24" si="7">1/(1+$B$12)^C23</f>
        <v>0.77388388820185017</v>
      </c>
      <c r="D24" s="42">
        <f t="shared" si="7"/>
        <v>0.6807908459495885</v>
      </c>
      <c r="E24" s="42">
        <f t="shared" si="7"/>
        <v>0.5988962724184137</v>
      </c>
      <c r="F24" s="42">
        <f t="shared" si="7"/>
        <v>0.52685306691569433</v>
      </c>
    </row>
    <row r="25" spans="1:7">
      <c r="A25" t="s">
        <v>344</v>
      </c>
      <c r="B25" s="42">
        <f>B22*B24</f>
        <v>24191.226739565034</v>
      </c>
      <c r="C25" s="42">
        <f t="shared" ref="C25:F25" si="8">C22*C24</f>
        <v>22930.658414768681</v>
      </c>
      <c r="D25" s="42">
        <f t="shared" si="8"/>
        <v>21737.059476587907</v>
      </c>
      <c r="E25" s="42">
        <f t="shared" si="8"/>
        <v>20606.778295780645</v>
      </c>
      <c r="F25" s="42">
        <f t="shared" si="8"/>
        <v>19536.36907950378</v>
      </c>
    </row>
    <row r="26" spans="1:7">
      <c r="A26" t="s">
        <v>345</v>
      </c>
      <c r="B26" s="24">
        <f>F22*(1+$B$35)/($B$12-$B$35)</f>
        <v>398630.36013438017</v>
      </c>
    </row>
    <row r="27" spans="1:7">
      <c r="A27" t="s">
        <v>346</v>
      </c>
      <c r="B27" s="24">
        <f xml:space="preserve"> B26*F24</f>
        <v>210019.62780250591</v>
      </c>
    </row>
    <row r="28" spans="1:7">
      <c r="A28" t="s">
        <v>347</v>
      </c>
      <c r="B28" s="24">
        <f>SUM(B25:F25)+B27</f>
        <v>319021.71980871196</v>
      </c>
    </row>
    <row r="29" spans="1:7">
      <c r="A29" t="s">
        <v>348</v>
      </c>
      <c r="B29">
        <v>0</v>
      </c>
    </row>
    <row r="30" spans="1:7">
      <c r="A30" t="s">
        <v>349</v>
      </c>
      <c r="B30">
        <v>22201</v>
      </c>
    </row>
    <row r="31" spans="1:7">
      <c r="A31" t="s">
        <v>350</v>
      </c>
      <c r="B31" s="24">
        <f>B28-B29+B30</f>
        <v>341222.71980871196</v>
      </c>
    </row>
    <row r="32" spans="1:7">
      <c r="A32" t="s">
        <v>351</v>
      </c>
      <c r="B32" s="43">
        <v>404.69400000000002</v>
      </c>
    </row>
    <row r="33" spans="1:6">
      <c r="A33" t="s">
        <v>352</v>
      </c>
      <c r="B33" s="24">
        <f>B31/B32</f>
        <v>843.16229004806587</v>
      </c>
    </row>
    <row r="35" spans="1:6">
      <c r="A35" t="s">
        <v>354</v>
      </c>
      <c r="B35" s="14">
        <v>0.04</v>
      </c>
    </row>
    <row r="43" spans="1:6">
      <c r="A43" s="55" t="s">
        <v>355</v>
      </c>
      <c r="B43" s="56">
        <v>0.03</v>
      </c>
      <c r="C43" s="56">
        <v>3.5000000000000003E-2</v>
      </c>
      <c r="D43" s="56">
        <v>0.04</v>
      </c>
      <c r="E43" s="56">
        <v>4.4999999999999998E-2</v>
      </c>
      <c r="F43" s="56">
        <v>0.05</v>
      </c>
    </row>
    <row r="44" spans="1:6">
      <c r="A44" s="57">
        <v>0.12</v>
      </c>
      <c r="B44" s="58" cm="1">
        <f t="array" ref="B44">(SUMPRODUCT($B$22:$F$22,1/(1+$A44)^{1,2,3,4,5})+($F$22*(1+B$43)/($A44-B$43))/(1+$A44)^5+$B$30-$B$29)/$B$32</f>
        <v>931.10064033269805</v>
      </c>
      <c r="C44" s="58" cm="1">
        <f t="array" ref="C44">(SUMPRODUCT($B$22:$F$22,1/(1+$A44)^{1,2,3,4,5})+($F$22*(1+C$43)/($A44-C$43))/(1+$A44)^5+$B$30-$B$29)/$B$32</f>
        <v>969.16022562158548</v>
      </c>
      <c r="D44" s="58" cm="1">
        <f t="array" ref="D44">(SUMPRODUCT($B$22:$F$22,1/(1+$A44)^{1,2,3,4,5})+($F$22*(1+D$43)/($A44-D$43))/(1+$A44)^5+$B$30-$B$29)/$B$32</f>
        <v>1011.9772590715841</v>
      </c>
      <c r="E44" s="58" cm="1">
        <f t="array" ref="E44">(SUMPRODUCT($B$22:$F$22,1/(1+$A44)^{1,2,3,4,5})+($F$22*(1+E$43)/($A44-E$43))/(1+$A44)^5+$B$30-$B$29)/$B$32</f>
        <v>1060.5032303149153</v>
      </c>
      <c r="F44" s="58" cm="1">
        <f t="array" ref="F44">(SUMPRODUCT($B$22:$F$22,1/(1+$A44)^{1,2,3,4,5})+($F$22*(1+F$43)/($A44-F$43))/(1+$A44)^5+$B$30-$B$29)/$B$32</f>
        <v>1115.9614831644374</v>
      </c>
    </row>
    <row r="45" spans="1:6">
      <c r="A45" s="57">
        <v>0.13</v>
      </c>
      <c r="B45" s="58" cm="1">
        <f t="array" ref="B45">(SUMPRODUCT($B$22:$F$22,1/(1+$A45)^{1,2,3,4,5})+($F$22*(1+B$43)/($A45-B$43))/(1+$A45)^5+$B$30-$B$29)/$B$32</f>
        <v>841.1279696470998</v>
      </c>
      <c r="C45" s="58" cm="1">
        <f t="array" ref="C45">(SUMPRODUCT($B$22:$F$22,1/(1+$A45)^{1,2,3,4,5})+($F$22*(1+C$43)/($A45-C$43))/(1+$A45)^5+$B$30-$B$29)/$B$32</f>
        <v>870.70538351695927</v>
      </c>
      <c r="D45" s="58" cm="1">
        <f t="array" ref="D45">(SUMPRODUCT($B$22:$F$22,1/(1+$A45)^{1,2,3,4,5})+($F$22*(1+D$43)/($A45-D$43))/(1+$A45)^5+$B$30-$B$29)/$B$32</f>
        <v>903.56917670569226</v>
      </c>
      <c r="E45" s="58" cm="1">
        <f t="array" ref="E45">(SUMPRODUCT($B$22:$F$22,1/(1+$A45)^{1,2,3,4,5})+($F$22*(1+E$43)/($A45-E$43))/(1+$A45)^5+$B$30-$B$29)/$B$32</f>
        <v>940.29929850486428</v>
      </c>
      <c r="F45" s="58" cm="1">
        <f t="array" ref="F45">(SUMPRODUCT($B$22:$F$22,1/(1+$A45)^{1,2,3,4,5})+($F$22*(1+F$43)/($A45-F$43))/(1+$A45)^5+$B$30-$B$29)/$B$32</f>
        <v>981.62068552893288</v>
      </c>
    </row>
    <row r="46" spans="1:6">
      <c r="A46" s="57">
        <v>0.13669999999999999</v>
      </c>
      <c r="B46" s="58" cm="1">
        <f t="array" ref="B46">(SUMPRODUCT($B$22:$F$22,1/(1+$A46)^{1,2,3,4,5})+($F$22*(1+B$43)/($A46-B$43))/(1+$A46)^5+$B$30-$B$29)/$B$32</f>
        <v>790.32373154107961</v>
      </c>
      <c r="C46" s="58" cm="1">
        <f t="array" ref="C46">(SUMPRODUCT($B$22:$F$22,1/(1+$A46)^{1,2,3,4,5})+($F$22*(1+C$43)/($A46-C$43))/(1+$A46)^5+$B$30-$B$29)/$B$32</f>
        <v>815.61256318841106</v>
      </c>
      <c r="D46" s="58" cm="1">
        <f t="array" ref="D46">(SUMPRODUCT($B$22:$F$22,1/(1+$A46)^{1,2,3,4,5})+($F$22*(1+D$43)/($A46-D$43))/(1+$A46)^5+$B$30-$B$29)/$B$32</f>
        <v>843.51657908055461</v>
      </c>
      <c r="E46" s="58" cm="1">
        <f t="array" ref="E46">(SUMPRODUCT($B$22:$F$22,1/(1+$A46)^{1,2,3,4,5})+($F$22*(1+E$43)/($A46-E$43))/(1+$A46)^5+$B$30-$B$29)/$B$32</f>
        <v>874.46356289986727</v>
      </c>
      <c r="F46" s="58" cm="1">
        <f t="array" ref="F46">(SUMPRODUCT($B$22:$F$22,1/(1+$A46)^{1,2,3,4,5})+($F$22*(1+F$43)/($A46-F$43))/(1+$A46)^5+$B$30-$B$29)/$B$32</f>
        <v>908.97997968565221</v>
      </c>
    </row>
    <row r="47" spans="1:6">
      <c r="A47" s="57">
        <v>0.14000000000000001</v>
      </c>
      <c r="B47" s="58" cm="1">
        <f t="array" ref="B47">(SUMPRODUCT($B$22:$F$22,1/(1+$A47)^{1,2,3,4,5})+($F$22*(1+B$43)/($A47-B$43))/(1+$A47)^5+$B$30-$B$29)/$B$32</f>
        <v>767.58736847210605</v>
      </c>
      <c r="C47" s="58" cm="1">
        <f t="array" ref="C47">(SUMPRODUCT($B$22:$F$22,1/(1+$A47)^{1,2,3,4,5})+($F$22*(1+C$43)/($A47-C$43))/(1+$A47)^5+$B$30-$B$29)/$B$32</f>
        <v>791.07267257093565</v>
      </c>
      <c r="D47" s="58" cm="1">
        <f t="array" ref="D47">(SUMPRODUCT($B$22:$F$22,1/(1+$A47)^{1,2,3,4,5})+($F$22*(1+D$43)/($A47-D$43))/(1+$A47)^5+$B$30-$B$29)/$B$32</f>
        <v>816.90650707964835</v>
      </c>
      <c r="E47" s="58" cm="1">
        <f t="array" ref="E47">(SUMPRODUCT($B$22:$F$22,1/(1+$A47)^{1,2,3,4,5})+($F$22*(1+E$43)/($A47-E$43))/(1+$A47)^5+$B$30-$B$29)/$B$32</f>
        <v>845.45969258927801</v>
      </c>
      <c r="F47" s="58" cm="1">
        <f t="array" ref="F47">(SUMPRODUCT($B$22:$F$22,1/(1+$A47)^{1,2,3,4,5})+($F$22*(1+F$43)/($A47-F$43))/(1+$A47)^5+$B$30-$B$29)/$B$32</f>
        <v>877.18545426664446</v>
      </c>
    </row>
    <row r="48" spans="1:6">
      <c r="A48" s="57">
        <v>0.15</v>
      </c>
      <c r="B48" s="58" cm="1">
        <f t="array" ref="B48">(SUMPRODUCT($B$22:$F$22,1/(1+$A48)^{1,2,3,4,5})+($F$22*(1+B$43)/($A48-B$43))/(1+$A48)^5+$B$30-$B$29)/$B$32</f>
        <v>706.3678007398679</v>
      </c>
      <c r="C48" s="58" cm="1">
        <f t="array" ref="C48">(SUMPRODUCT($B$22:$F$22,1/(1+$A48)^{1,2,3,4,5})+($F$22*(1+C$43)/($A48-C$43))/(1+$A48)^5+$B$30-$B$29)/$B$32</f>
        <v>725.34915215987405</v>
      </c>
      <c r="D48" s="58" cm="1">
        <f t="array" ref="D48">(SUMPRODUCT($B$22:$F$22,1/(1+$A48)^{1,2,3,4,5})+($F$22*(1+D$43)/($A48-D$43))/(1+$A48)^5+$B$30-$B$29)/$B$32</f>
        <v>746.0560809816991</v>
      </c>
      <c r="E48" s="58" cm="1">
        <f t="array" ref="E48">(SUMPRODUCT($B$22:$F$22,1/(1+$A48)^{1,2,3,4,5})+($F$22*(1+E$43)/($A48-E$43))/(1+$A48)^5+$B$30-$B$29)/$B$32</f>
        <v>768.73509826274528</v>
      </c>
      <c r="F48" s="58" cm="1">
        <f t="array" ref="F48">(SUMPRODUCT($B$22:$F$22,1/(1+$A48)^{1,2,3,4,5})+($F$22*(1+F$43)/($A48-F$43))/(1+$A48)^5+$B$30-$B$29)/$B$32</f>
        <v>793.68201727189637</v>
      </c>
    </row>
  </sheetData>
  <pageMargins left="0.7" right="0.7"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11</vt:i4>
      </vt:variant>
    </vt:vector>
  </HeadingPairs>
  <TitlesOfParts>
    <vt:vector size="11" baseType="lpstr">
      <vt:lpstr>01_Historical_Data</vt:lpstr>
      <vt:lpstr>06_Employee_Cost_Analysis</vt:lpstr>
      <vt:lpstr>03_Budget_Forecast</vt:lpstr>
      <vt:lpstr>09_Integrated_Model</vt:lpstr>
      <vt:lpstr>04_Variance_Analysis</vt:lpstr>
      <vt:lpstr>05_Management_Summary</vt:lpstr>
      <vt:lpstr>08_Cash_Flow</vt:lpstr>
      <vt:lpstr>02_Performance_Analysis</vt:lpstr>
      <vt:lpstr>07_Balance_Sheet</vt:lpstr>
      <vt:lpstr>10_Excel_Dashboard</vt:lpstr>
      <vt:lpstr>11_DCF_Valuation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navin joshi</dc:creator>
  <cp:lastModifiedBy>navin joshi</cp:lastModifiedBy>
  <dcterms:modified xsi:type="dcterms:W3CDTF">2026-10-20T07:36:38Z</dcterms:modified>
</cp:coreProperties>
</file>

<file path=docProps/core0.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2026-10-13T13:08:48Z</dcterms:created>
  <dc:creator>navin joshi</dc:creator>
  <dc:description/>
  <dc:language>en-US</dc:language>
  <cp:lastModifiedBy>navin joshi</cp:lastModifiedBy>
  <dcterms:modified xsi:type="dcterms:W3CDTF">2026-10-18T09:16:40Z</dcterms:modified>
  <cp:revision>0</cp:revision>
  <dc:subject/>
  <dc:title/>
</cp:coreProperties>
</file>